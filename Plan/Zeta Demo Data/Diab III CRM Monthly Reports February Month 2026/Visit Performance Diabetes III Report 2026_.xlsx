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thly Reports\Feb 2026\Kamal Allam\Diab III\"/>
    </mc:Choice>
  </mc:AlternateContent>
  <xr:revisionPtr revIDLastSave="0" documentId="13_ncr:1_{2DEBD6FB-DA1F-4E31-BF95-0B4888E5B9E9}" xr6:coauthVersionLast="47" xr6:coauthVersionMax="47" xr10:uidLastSave="{00000000-0000-0000-0000-000000000000}"/>
  <bookViews>
    <workbookView xWindow="-110" yWindow="-110" windowWidth="19420" windowHeight="10420" tabRatio="798" firstSheet="1" activeTab="1" xr2:uid="{D2F23018-3557-46E1-AF94-DEB1C92B230C}"/>
  </bookViews>
  <sheets>
    <sheet name="Till 16 - Oct" sheetId="27" state="hidden" r:id="rId1"/>
    <sheet name="2-2026" sheetId="29" r:id="rId2"/>
    <sheet name="Sheet1" sheetId="30" state="hidden" r:id="rId3"/>
    <sheet name="sheet" sheetId="16" state="hidden" r:id="rId4"/>
    <sheet name="Performance" sheetId="9" state="hidden" r:id="rId5"/>
  </sheets>
  <definedNames>
    <definedName name="_xlnm._FilterDatabase" localSheetId="4" hidden="1">Performance!$A$1:$P$78</definedName>
    <definedName name="_xlnm._FilterDatabase" localSheetId="2" hidden="1">Sheet1!$A$1:$AC$50</definedName>
    <definedName name="performance1">Performance!$A:$P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30" l="1"/>
  <c r="H46" i="30"/>
  <c r="H45" i="30"/>
  <c r="H43" i="30"/>
  <c r="H42" i="30"/>
  <c r="H39" i="30"/>
  <c r="H38" i="30"/>
  <c r="H36" i="30"/>
  <c r="H35" i="30"/>
  <c r="H34" i="30"/>
  <c r="H32" i="30"/>
  <c r="H30" i="30"/>
  <c r="H24" i="30"/>
  <c r="H23" i="30"/>
  <c r="H21" i="30"/>
  <c r="H20" i="30"/>
  <c r="H17" i="30"/>
  <c r="H14" i="30"/>
  <c r="H13" i="30"/>
  <c r="H10" i="30"/>
  <c r="H8" i="30"/>
  <c r="H7" i="30"/>
  <c r="H5" i="30"/>
  <c r="H4" i="30"/>
  <c r="H3" i="30"/>
  <c r="G50" i="30"/>
  <c r="G46" i="30"/>
  <c r="G45" i="30"/>
  <c r="G43" i="30"/>
  <c r="G42" i="30"/>
  <c r="G39" i="30"/>
  <c r="G38" i="30"/>
  <c r="G36" i="30"/>
  <c r="G35" i="30"/>
  <c r="G34" i="30"/>
  <c r="G32" i="30"/>
  <c r="G30" i="30"/>
  <c r="G24" i="30"/>
  <c r="G23" i="30"/>
  <c r="G21" i="30"/>
  <c r="G20" i="30"/>
  <c r="G17" i="30"/>
  <c r="G14" i="30"/>
  <c r="G13" i="30"/>
  <c r="G10" i="30"/>
  <c r="G8" i="30"/>
  <c r="G7" i="30"/>
  <c r="G5" i="30"/>
  <c r="G4" i="30"/>
  <c r="G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3" i="30"/>
  <c r="T4" i="16" l="1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1" i="16"/>
  <c r="T22" i="16"/>
  <c r="T23" i="16"/>
  <c r="T24" i="16"/>
  <c r="T25" i="16"/>
  <c r="T26" i="16"/>
  <c r="T27" i="16"/>
  <c r="T28" i="16"/>
  <c r="T30" i="16"/>
  <c r="T31" i="16"/>
  <c r="T32" i="16"/>
  <c r="T33" i="16"/>
  <c r="T34" i="16"/>
  <c r="T35" i="16"/>
  <c r="T36" i="16"/>
  <c r="T38" i="16"/>
  <c r="T39" i="16"/>
  <c r="T40" i="16"/>
  <c r="T41" i="16"/>
  <c r="T42" i="16"/>
  <c r="T43" i="16"/>
  <c r="T44" i="16"/>
  <c r="T45" i="16"/>
  <c r="T47" i="16"/>
  <c r="T48" i="16"/>
  <c r="T53" i="16" s="1"/>
  <c r="T49" i="16"/>
  <c r="T50" i="16"/>
  <c r="T51" i="16"/>
  <c r="T52" i="16"/>
  <c r="T54" i="16"/>
  <c r="T55" i="16"/>
  <c r="T56" i="16"/>
  <c r="T57" i="16"/>
  <c r="T58" i="16"/>
  <c r="T59" i="16"/>
  <c r="T61" i="16"/>
  <c r="T62" i="16"/>
  <c r="T63" i="16"/>
  <c r="T64" i="16"/>
  <c r="T65" i="16"/>
  <c r="T3" i="16"/>
  <c r="S4" i="16"/>
  <c r="S5" i="16"/>
  <c r="S6" i="16"/>
  <c r="S7" i="16"/>
  <c r="S8" i="16"/>
  <c r="S9" i="16"/>
  <c r="S10" i="16"/>
  <c r="S12" i="16"/>
  <c r="S13" i="16"/>
  <c r="S14" i="16"/>
  <c r="S15" i="16"/>
  <c r="S16" i="16"/>
  <c r="S17" i="16"/>
  <c r="S18" i="16"/>
  <c r="S19" i="16"/>
  <c r="S21" i="16"/>
  <c r="S22" i="16"/>
  <c r="S23" i="16"/>
  <c r="S24" i="16"/>
  <c r="S25" i="16"/>
  <c r="S26" i="16"/>
  <c r="S27" i="16"/>
  <c r="S28" i="16"/>
  <c r="S30" i="16"/>
  <c r="S31" i="16"/>
  <c r="S32" i="16"/>
  <c r="S33" i="16"/>
  <c r="S34" i="16"/>
  <c r="S35" i="16"/>
  <c r="S36" i="16"/>
  <c r="S37" i="16" s="1"/>
  <c r="S38" i="16"/>
  <c r="S39" i="16"/>
  <c r="S40" i="16"/>
  <c r="S41" i="16"/>
  <c r="S42" i="16"/>
  <c r="S43" i="16"/>
  <c r="S44" i="16"/>
  <c r="S45" i="16"/>
  <c r="S47" i="16"/>
  <c r="S48" i="16"/>
  <c r="S49" i="16"/>
  <c r="S50" i="16"/>
  <c r="S51" i="16"/>
  <c r="S52" i="16"/>
  <c r="S54" i="16"/>
  <c r="S55" i="16"/>
  <c r="S56" i="16"/>
  <c r="S57" i="16"/>
  <c r="S58" i="16"/>
  <c r="S59" i="16"/>
  <c r="S61" i="16"/>
  <c r="S62" i="16"/>
  <c r="S63" i="16"/>
  <c r="S64" i="16"/>
  <c r="S65" i="16"/>
  <c r="S3" i="16"/>
  <c r="R4" i="16"/>
  <c r="R5" i="16"/>
  <c r="R6" i="16"/>
  <c r="R7" i="16"/>
  <c r="R8" i="16"/>
  <c r="R9" i="16"/>
  <c r="R10" i="16"/>
  <c r="R12" i="16"/>
  <c r="R13" i="16"/>
  <c r="R14" i="16"/>
  <c r="R15" i="16"/>
  <c r="R16" i="16"/>
  <c r="R17" i="16"/>
  <c r="R18" i="16"/>
  <c r="R19" i="16"/>
  <c r="R21" i="16"/>
  <c r="R22" i="16"/>
  <c r="R23" i="16"/>
  <c r="R24" i="16"/>
  <c r="R25" i="16"/>
  <c r="R26" i="16"/>
  <c r="R27" i="16"/>
  <c r="R28" i="16"/>
  <c r="R30" i="16"/>
  <c r="R31" i="16"/>
  <c r="R32" i="16"/>
  <c r="R33" i="16"/>
  <c r="R34" i="16"/>
  <c r="R35" i="16"/>
  <c r="R36" i="16"/>
  <c r="R37" i="16" s="1"/>
  <c r="R38" i="16"/>
  <c r="R39" i="16"/>
  <c r="R40" i="16"/>
  <c r="R41" i="16"/>
  <c r="R42" i="16"/>
  <c r="R43" i="16"/>
  <c r="R44" i="16"/>
  <c r="R45" i="16"/>
  <c r="R47" i="16"/>
  <c r="R48" i="16"/>
  <c r="R49" i="16"/>
  <c r="R50" i="16"/>
  <c r="R51" i="16"/>
  <c r="R52" i="16"/>
  <c r="R54" i="16"/>
  <c r="R55" i="16"/>
  <c r="R56" i="16"/>
  <c r="R57" i="16"/>
  <c r="R58" i="16"/>
  <c r="R59" i="16"/>
  <c r="R61" i="16"/>
  <c r="R62" i="16"/>
  <c r="R63" i="16"/>
  <c r="R64" i="16"/>
  <c r="R65" i="16"/>
  <c r="R3" i="16"/>
  <c r="Q4" i="16"/>
  <c r="Q5" i="16"/>
  <c r="Q6" i="16"/>
  <c r="Q7" i="16"/>
  <c r="Q8" i="16"/>
  <c r="Q9" i="16"/>
  <c r="Q10" i="16"/>
  <c r="Q12" i="16"/>
  <c r="Q13" i="16"/>
  <c r="Q14" i="16"/>
  <c r="Q15" i="16"/>
  <c r="Q16" i="16"/>
  <c r="Q17" i="16"/>
  <c r="Q18" i="16"/>
  <c r="Q19" i="16"/>
  <c r="Q21" i="16"/>
  <c r="Q22" i="16"/>
  <c r="Q23" i="16"/>
  <c r="Q24" i="16"/>
  <c r="Q25" i="16"/>
  <c r="Q26" i="16"/>
  <c r="Q27" i="16"/>
  <c r="Q28" i="16"/>
  <c r="Q30" i="16"/>
  <c r="Q31" i="16"/>
  <c r="Q32" i="16"/>
  <c r="Q33" i="16"/>
  <c r="Q34" i="16"/>
  <c r="Q35" i="16"/>
  <c r="Q36" i="16"/>
  <c r="Q37" i="16" s="1"/>
  <c r="Q38" i="16"/>
  <c r="Q39" i="16"/>
  <c r="Q40" i="16"/>
  <c r="Q41" i="16"/>
  <c r="Q42" i="16"/>
  <c r="Q43" i="16"/>
  <c r="Q44" i="16"/>
  <c r="Q45" i="16"/>
  <c r="Q47" i="16"/>
  <c r="Q48" i="16"/>
  <c r="Q49" i="16"/>
  <c r="Q50" i="16"/>
  <c r="Q51" i="16"/>
  <c r="Q52" i="16"/>
  <c r="Q54" i="16"/>
  <c r="Q55" i="16"/>
  <c r="Q56" i="16"/>
  <c r="Q57" i="16"/>
  <c r="Q58" i="16"/>
  <c r="Q59" i="16"/>
  <c r="Q61" i="16"/>
  <c r="Q62" i="16"/>
  <c r="Q63" i="16"/>
  <c r="Q64" i="16"/>
  <c r="Q65" i="16"/>
  <c r="Q3" i="16"/>
  <c r="P4" i="16"/>
  <c r="P5" i="16"/>
  <c r="P6" i="16"/>
  <c r="P7" i="16"/>
  <c r="P8" i="16"/>
  <c r="P9" i="16"/>
  <c r="P10" i="16"/>
  <c r="P12" i="16"/>
  <c r="P13" i="16"/>
  <c r="P14" i="16"/>
  <c r="P15" i="16"/>
  <c r="P16" i="16"/>
  <c r="P17" i="16"/>
  <c r="P18" i="16"/>
  <c r="P19" i="16"/>
  <c r="P21" i="16"/>
  <c r="P22" i="16"/>
  <c r="P23" i="16"/>
  <c r="P24" i="16"/>
  <c r="P25" i="16"/>
  <c r="P26" i="16"/>
  <c r="P27" i="16"/>
  <c r="P28" i="16"/>
  <c r="P30" i="16"/>
  <c r="P31" i="16"/>
  <c r="P32" i="16"/>
  <c r="P33" i="16"/>
  <c r="P34" i="16"/>
  <c r="P35" i="16"/>
  <c r="P36" i="16"/>
  <c r="P38" i="16"/>
  <c r="P39" i="16"/>
  <c r="P40" i="16"/>
  <c r="P41" i="16"/>
  <c r="P42" i="16"/>
  <c r="P43" i="16"/>
  <c r="P44" i="16"/>
  <c r="P45" i="16"/>
  <c r="P47" i="16"/>
  <c r="P48" i="16"/>
  <c r="P49" i="16"/>
  <c r="P50" i="16"/>
  <c r="P51" i="16"/>
  <c r="P52" i="16"/>
  <c r="P54" i="16"/>
  <c r="P55" i="16"/>
  <c r="P56" i="16"/>
  <c r="P57" i="16"/>
  <c r="P58" i="16"/>
  <c r="P59" i="16"/>
  <c r="P61" i="16"/>
  <c r="P62" i="16"/>
  <c r="P63" i="16"/>
  <c r="P64" i="16"/>
  <c r="P65" i="16"/>
  <c r="P3" i="16"/>
  <c r="O4" i="16"/>
  <c r="O5" i="16"/>
  <c r="O6" i="16"/>
  <c r="O7" i="16"/>
  <c r="O8" i="16"/>
  <c r="O9" i="16"/>
  <c r="O10" i="16"/>
  <c r="O12" i="16"/>
  <c r="O13" i="16"/>
  <c r="O14" i="16"/>
  <c r="O15" i="16"/>
  <c r="O16" i="16"/>
  <c r="O17" i="16"/>
  <c r="O18" i="16"/>
  <c r="O19" i="16"/>
  <c r="O21" i="16"/>
  <c r="O22" i="16"/>
  <c r="O23" i="16"/>
  <c r="O24" i="16"/>
  <c r="O25" i="16"/>
  <c r="O26" i="16"/>
  <c r="O27" i="16"/>
  <c r="O28" i="16"/>
  <c r="O30" i="16"/>
  <c r="O31" i="16"/>
  <c r="O32" i="16"/>
  <c r="O33" i="16"/>
  <c r="O34" i="16"/>
  <c r="O35" i="16"/>
  <c r="O36" i="16"/>
  <c r="O37" i="16" s="1"/>
  <c r="O38" i="16"/>
  <c r="O39" i="16"/>
  <c r="O40" i="16"/>
  <c r="O41" i="16"/>
  <c r="O42" i="16"/>
  <c r="O43" i="16"/>
  <c r="O44" i="16"/>
  <c r="O45" i="16"/>
  <c r="O47" i="16"/>
  <c r="O48" i="16"/>
  <c r="O49" i="16"/>
  <c r="O50" i="16"/>
  <c r="O51" i="16"/>
  <c r="O52" i="16"/>
  <c r="O54" i="16"/>
  <c r="O55" i="16"/>
  <c r="O56" i="16"/>
  <c r="O57" i="16"/>
  <c r="O58" i="16"/>
  <c r="O59" i="16"/>
  <c r="O61" i="16"/>
  <c r="O62" i="16"/>
  <c r="O63" i="16"/>
  <c r="O64" i="16"/>
  <c r="O65" i="16"/>
  <c r="O3" i="16"/>
  <c r="N4" i="16"/>
  <c r="N5" i="16"/>
  <c r="N6" i="16"/>
  <c r="N7" i="16"/>
  <c r="N8" i="16"/>
  <c r="N9" i="16"/>
  <c r="N10" i="16"/>
  <c r="N12" i="16"/>
  <c r="N13" i="16"/>
  <c r="N14" i="16"/>
  <c r="N15" i="16"/>
  <c r="N16" i="16"/>
  <c r="N17" i="16"/>
  <c r="N18" i="16"/>
  <c r="N19" i="16"/>
  <c r="N21" i="16"/>
  <c r="N22" i="16"/>
  <c r="N23" i="16"/>
  <c r="N24" i="16"/>
  <c r="N25" i="16"/>
  <c r="N26" i="16"/>
  <c r="N27" i="16"/>
  <c r="N28" i="16"/>
  <c r="N30" i="16"/>
  <c r="N31" i="16"/>
  <c r="N32" i="16"/>
  <c r="N33" i="16"/>
  <c r="N34" i="16"/>
  <c r="N35" i="16"/>
  <c r="N36" i="16"/>
  <c r="N37" i="16" s="1"/>
  <c r="N38" i="16"/>
  <c r="N39" i="16"/>
  <c r="N40" i="16"/>
  <c r="N41" i="16"/>
  <c r="N42" i="16"/>
  <c r="N43" i="16"/>
  <c r="N44" i="16"/>
  <c r="N45" i="16"/>
  <c r="N47" i="16"/>
  <c r="N48" i="16"/>
  <c r="N49" i="16"/>
  <c r="N50" i="16"/>
  <c r="N51" i="16"/>
  <c r="N52" i="16"/>
  <c r="N54" i="16"/>
  <c r="N55" i="16"/>
  <c r="N56" i="16"/>
  <c r="N57" i="16"/>
  <c r="N58" i="16"/>
  <c r="N59" i="16"/>
  <c r="N61" i="16"/>
  <c r="N62" i="16"/>
  <c r="N63" i="16"/>
  <c r="N64" i="16"/>
  <c r="N65" i="16"/>
  <c r="N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3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3" i="16"/>
  <c r="N66" i="16" l="1"/>
  <c r="N29" i="16"/>
  <c r="O66" i="16"/>
  <c r="O29" i="16"/>
  <c r="Q66" i="16"/>
  <c r="Q29" i="16"/>
  <c r="R66" i="16"/>
  <c r="R29" i="16"/>
  <c r="N20" i="16"/>
  <c r="O20" i="16"/>
  <c r="Q20" i="16"/>
  <c r="R20" i="16"/>
  <c r="N11" i="16"/>
  <c r="N53" i="16"/>
  <c r="O11" i="16"/>
  <c r="P11" i="16" s="1"/>
  <c r="O53" i="16"/>
  <c r="O46" i="16"/>
  <c r="Q11" i="16"/>
  <c r="Q53" i="16"/>
  <c r="Q46" i="16"/>
  <c r="R11" i="16"/>
  <c r="R53" i="16"/>
  <c r="R46" i="16"/>
  <c r="S11" i="16"/>
  <c r="S53" i="16"/>
  <c r="S46" i="16"/>
  <c r="V56" i="16"/>
  <c r="V19" i="16"/>
  <c r="N60" i="16"/>
  <c r="O60" i="16"/>
  <c r="Q60" i="16"/>
  <c r="R60" i="16"/>
  <c r="S60" i="16"/>
  <c r="V64" i="16"/>
  <c r="T60" i="16"/>
  <c r="V45" i="16"/>
  <c r="V36" i="16"/>
  <c r="V27" i="16"/>
  <c r="V18" i="16"/>
  <c r="V10" i="16"/>
  <c r="V47" i="16"/>
  <c r="V28" i="16"/>
  <c r="V63" i="16"/>
  <c r="V54" i="16"/>
  <c r="V44" i="16"/>
  <c r="V26" i="16"/>
  <c r="V9" i="16"/>
  <c r="V65" i="16"/>
  <c r="V38" i="16"/>
  <c r="V62" i="16"/>
  <c r="V52" i="16"/>
  <c r="V43" i="16"/>
  <c r="V34" i="16"/>
  <c r="V25" i="16"/>
  <c r="V16" i="16"/>
  <c r="V8" i="16"/>
  <c r="S66" i="16"/>
  <c r="S29" i="16"/>
  <c r="T66" i="16"/>
  <c r="V51" i="16"/>
  <c r="V42" i="16"/>
  <c r="V33" i="16"/>
  <c r="T29" i="16"/>
  <c r="V15" i="16"/>
  <c r="V7" i="16"/>
  <c r="V59" i="16"/>
  <c r="V50" i="16"/>
  <c r="V32" i="16"/>
  <c r="V23" i="16"/>
  <c r="V14" i="16"/>
  <c r="V6" i="16"/>
  <c r="S20" i="16"/>
  <c r="V58" i="16"/>
  <c r="V49" i="16"/>
  <c r="V31" i="16"/>
  <c r="V22" i="16"/>
  <c r="T20" i="16"/>
  <c r="V5" i="16"/>
  <c r="V3" i="16"/>
  <c r="V57" i="16"/>
  <c r="V39" i="16"/>
  <c r="V30" i="16"/>
  <c r="V21" i="16"/>
  <c r="V12" i="16"/>
  <c r="V4" i="16"/>
  <c r="P60" i="16"/>
  <c r="P37" i="16"/>
  <c r="P29" i="16"/>
  <c r="T46" i="16"/>
  <c r="V55" i="16"/>
  <c r="V24" i="16"/>
  <c r="V13" i="16"/>
  <c r="T37" i="16"/>
  <c r="N46" i="16"/>
  <c r="V41" i="16"/>
  <c r="V61" i="16"/>
  <c r="V40" i="16"/>
  <c r="V48" i="16"/>
  <c r="V35" i="16"/>
  <c r="V17" i="16"/>
  <c r="P66" i="16" l="1"/>
  <c r="R67" i="16"/>
  <c r="Q67" i="16"/>
  <c r="P46" i="16"/>
  <c r="P20" i="16"/>
  <c r="O67" i="16"/>
  <c r="N67" i="16"/>
  <c r="P53" i="16"/>
  <c r="S67" i="16"/>
  <c r="T67" i="16"/>
  <c r="P67" i="16" l="1"/>
</calcChain>
</file>

<file path=xl/sharedStrings.xml><?xml version="1.0" encoding="utf-8"?>
<sst xmlns="http://schemas.openxmlformats.org/spreadsheetml/2006/main" count="1317" uniqueCount="376">
  <si>
    <t>Name</t>
  </si>
  <si>
    <t>Area</t>
  </si>
  <si>
    <t>Calendar Days</t>
  </si>
  <si>
    <t>Holidays</t>
  </si>
  <si>
    <t>Leave Days</t>
  </si>
  <si>
    <t>Activity Days</t>
  </si>
  <si>
    <t>NFA Days (Leave&amp;Activity)</t>
  </si>
  <si>
    <t>Supposed Visit Days</t>
  </si>
  <si>
    <t>Actual Visit Days</t>
  </si>
  <si>
    <t>Missing Work Days</t>
  </si>
  <si>
    <t>Target Visits</t>
  </si>
  <si>
    <t>Actual Visits</t>
  </si>
  <si>
    <t>Target Visits Achievement %</t>
  </si>
  <si>
    <t>Average Daily Visits (Actual Visit Days)</t>
  </si>
  <si>
    <t>Calls per Visit</t>
  </si>
  <si>
    <t>Average Visit Duration</t>
  </si>
  <si>
    <t>May Ibrahim Mohamed Abdel Wahab Soliman</t>
  </si>
  <si>
    <t>Cairo 1</t>
  </si>
  <si>
    <t>Amira Essam Ahmed Ahmed</t>
  </si>
  <si>
    <t>Nourhan Ashraf Mostafa Hassan</t>
  </si>
  <si>
    <t>Sandy Nabil Faiq Bashy</t>
  </si>
  <si>
    <t>Lamis Sayed Mohamed Ahmed</t>
  </si>
  <si>
    <t>Cairo 2</t>
  </si>
  <si>
    <t>Kyrilles Latif Masoud Yassa</t>
  </si>
  <si>
    <t>Giza</t>
  </si>
  <si>
    <t>Ghada Samir Mohamed Mohamed</t>
  </si>
  <si>
    <t>Menna Allah Hassouna Abbas Hassouna</t>
  </si>
  <si>
    <t>Delta 1</t>
  </si>
  <si>
    <t>Mohamed El-Sayed Mostafa Gaber</t>
  </si>
  <si>
    <t>Mohamed Mohamed Mohamed Hassan Salah</t>
  </si>
  <si>
    <t>Delta 2</t>
  </si>
  <si>
    <t>Alexcenter_II</t>
  </si>
  <si>
    <t>Monica Ibrahim Guirgis Youssef</t>
  </si>
  <si>
    <t>Ihab Saied Gaber Mohamed</t>
  </si>
  <si>
    <t>Karim Mohamed Nagib Mohamed El-Demerdash</t>
  </si>
  <si>
    <t>Alex&amp;Behira</t>
  </si>
  <si>
    <t>Martha Refaat Agban Fakher</t>
  </si>
  <si>
    <t>Assiut_II</t>
  </si>
  <si>
    <t>John Baskhroon Helmy Hanna</t>
  </si>
  <si>
    <t>Quena_II</t>
  </si>
  <si>
    <t>Youstina Samy Eissa Bekhit</t>
  </si>
  <si>
    <t>Upper Egypt</t>
  </si>
  <si>
    <t>Cairoeast_I - ElKobba - Elabbasia</t>
  </si>
  <si>
    <t>Cairoeast_II</t>
  </si>
  <si>
    <t>Cairoeast_III</t>
  </si>
  <si>
    <t>Heliopolis_I - Heliopolis_II</t>
  </si>
  <si>
    <t>Heliopolis_III</t>
  </si>
  <si>
    <t>NasrCity</t>
  </si>
  <si>
    <t>Kholoud El-Matarawy Mohamed Aly</t>
  </si>
  <si>
    <t>New Cairo_Rehab</t>
  </si>
  <si>
    <t>Ismailia - Suez/S.Sinai</t>
  </si>
  <si>
    <t>Shoubraelkhima</t>
  </si>
  <si>
    <t>Nada Refaat Mohamed Ahmed</t>
  </si>
  <si>
    <t>CairoWest_I - CairoWest_II - CairoWest_III</t>
  </si>
  <si>
    <t>CairoCenter - Cairosouth_I</t>
  </si>
  <si>
    <t>CairoSouth_II - CairoSouth_III</t>
  </si>
  <si>
    <t>Maadi</t>
  </si>
  <si>
    <t>Amira Ateya Fawzy Ateya</t>
  </si>
  <si>
    <t>Helwan</t>
  </si>
  <si>
    <t>Ahmed Mostafa Hamza Mohamed</t>
  </si>
  <si>
    <t>Kalubeia_I - Kalubeia_II</t>
  </si>
  <si>
    <t>Sharkia_I</t>
  </si>
  <si>
    <t>Sharkia_II</t>
  </si>
  <si>
    <t>Hoda Aly Mostafa Ahmed Mohamed</t>
  </si>
  <si>
    <t>Sharkia_III</t>
  </si>
  <si>
    <t>Alaa Aly Aly Abu El-Enein</t>
  </si>
  <si>
    <t>Dakahleia_I - Dakahleia_IV</t>
  </si>
  <si>
    <t>Dakahleia_II</t>
  </si>
  <si>
    <t>Dakahleia_III</t>
  </si>
  <si>
    <t>Domiat</t>
  </si>
  <si>
    <t>Shereen Tarek Gouda El-Sayed</t>
  </si>
  <si>
    <t>PortSaid/N.Sinai</t>
  </si>
  <si>
    <t>Mina Magdy Zekry Metry</t>
  </si>
  <si>
    <t>Hagar Abdel Aziz Ahmed Qamh</t>
  </si>
  <si>
    <t>Menofeya_I - Menofeya_II</t>
  </si>
  <si>
    <t>Mohamed Sobhy Afifi Mazied</t>
  </si>
  <si>
    <t>Menofeya_III</t>
  </si>
  <si>
    <t>Gharbia_I</t>
  </si>
  <si>
    <t>Omar Mohamed Abdel Hamid Megahed El-Samahy</t>
  </si>
  <si>
    <t>Gharbia_II</t>
  </si>
  <si>
    <t>Gharbia_III</t>
  </si>
  <si>
    <t>Reham Ateya Mohamed Ibrahim Nasr</t>
  </si>
  <si>
    <t>Kafrelsheikh_I</t>
  </si>
  <si>
    <t>Kafrelsheikh_II</t>
  </si>
  <si>
    <t>Ola Aly Abdel Fatah El-Rayis</t>
  </si>
  <si>
    <t>Alexeast_I - Alexeast_II</t>
  </si>
  <si>
    <t>Alexeast_III</t>
  </si>
  <si>
    <t>Israa Samir Gaber Mohamed Ateya</t>
  </si>
  <si>
    <t xml:space="preserve">Alexcenter_I / Alex_west_I </t>
  </si>
  <si>
    <t>kyrilles Ateya Milad Ateya Gayed</t>
  </si>
  <si>
    <t>Alex_west II/Matrouh</t>
  </si>
  <si>
    <t>Marwa Mohamed Hussien Abdel Karim</t>
  </si>
  <si>
    <t>Behera_I</t>
  </si>
  <si>
    <t>Behera_II</t>
  </si>
  <si>
    <t>Behera_III</t>
  </si>
  <si>
    <t>Amira Mohamed Abdel Azim Basiouny</t>
  </si>
  <si>
    <t>Imbaba_I - Imbaba_II</t>
  </si>
  <si>
    <t>Guiza_I - Guiza_II</t>
  </si>
  <si>
    <t>Guiza_III</t>
  </si>
  <si>
    <t>Mostafa Khaled Mohamed Mohamed</t>
  </si>
  <si>
    <t>Guiza_V - Guiza_IV</t>
  </si>
  <si>
    <t>Faisal - Haram</t>
  </si>
  <si>
    <t>October_ElSheikhZaied</t>
  </si>
  <si>
    <t>Fayoum</t>
  </si>
  <si>
    <t>Banisuif</t>
  </si>
  <si>
    <t>Nehal Mostafa Zaky El-Sayed</t>
  </si>
  <si>
    <t>Elmenya_I</t>
  </si>
  <si>
    <t>Elmenya_II</t>
  </si>
  <si>
    <t>Assiut_INewValley</t>
  </si>
  <si>
    <t>Sohag_I</t>
  </si>
  <si>
    <t>Sohag_II</t>
  </si>
  <si>
    <t>Ereen Maher Botros Abdullah</t>
  </si>
  <si>
    <t>Quena_I/Redsea</t>
  </si>
  <si>
    <t>Amany Youssef Ismail Aly</t>
  </si>
  <si>
    <t>Aswan</t>
  </si>
  <si>
    <t>John Anis Zaky Bekhit</t>
  </si>
  <si>
    <t>Hoda Abdel Tawab Ismail El-Dib</t>
  </si>
  <si>
    <t>Reem Hassan Tolba Ibrahim</t>
  </si>
  <si>
    <t>Employee Name</t>
  </si>
  <si>
    <t>NFA Days</t>
  </si>
  <si>
    <t>Missing Working Days</t>
  </si>
  <si>
    <t>Mahmoud Mohamed Abdelmahdy Abdullah</t>
  </si>
  <si>
    <t>Target Visits Done</t>
  </si>
  <si>
    <t>Mayar Mahmoud Mohamed AbdelHafez</t>
  </si>
  <si>
    <t>Mariam Makram Ragheb Soliman</t>
  </si>
  <si>
    <t>Mariam AbdelRahman Abdel Samie Abdel Wadod</t>
  </si>
  <si>
    <t>Mohamed AbdelAziz Mohamed Abdel Latif El-Tahlawy</t>
  </si>
  <si>
    <t>Zeinab AbdelHamid Mohamed Aly</t>
  </si>
  <si>
    <t>Evodia Ayman AttaAllah Henry</t>
  </si>
  <si>
    <t>Mirrete Refaat GabAllah AttaAllah Abdo</t>
  </si>
  <si>
    <t>Yasmin Sayed AbdelLatif Mohamed Hekal</t>
  </si>
  <si>
    <t>Peter AbdelNasser Fathy Habel</t>
  </si>
  <si>
    <t>Mahmoud Abdel Aziz El-Sayed Mohamed</t>
  </si>
  <si>
    <t>National Sales Manager</t>
  </si>
  <si>
    <t>Daily Target Visits 2025</t>
  </si>
  <si>
    <t>Visits out of Target List</t>
  </si>
  <si>
    <t>Nada Anwar Ahmed Mousa</t>
  </si>
  <si>
    <t>Rana Mohamed Gaber AbdelHamid</t>
  </si>
  <si>
    <t>Hiring Date</t>
  </si>
  <si>
    <t>Code</t>
  </si>
  <si>
    <t>22-Jun-2024</t>
  </si>
  <si>
    <t>1188</t>
  </si>
  <si>
    <t>1-Dec-2024</t>
  </si>
  <si>
    <t>1331</t>
  </si>
  <si>
    <t>1-Jan-2024</t>
  </si>
  <si>
    <t>960</t>
  </si>
  <si>
    <t>7-Sept-2024</t>
  </si>
  <si>
    <t>1268</t>
  </si>
  <si>
    <t>3-Mar-2021</t>
  </si>
  <si>
    <t>333</t>
  </si>
  <si>
    <t>1006</t>
  </si>
  <si>
    <t>10-Aug-2024</t>
  </si>
  <si>
    <t xml:space="preserve"> 1246</t>
  </si>
  <si>
    <t>1-Feb-2025</t>
  </si>
  <si>
    <t>1439</t>
  </si>
  <si>
    <t>2-Apr-2022</t>
  </si>
  <si>
    <t>543</t>
  </si>
  <si>
    <t>962</t>
  </si>
  <si>
    <t>5-Apr-2025</t>
  </si>
  <si>
    <t>1583</t>
  </si>
  <si>
    <t>29-Aug-2020</t>
  </si>
  <si>
    <t>230</t>
  </si>
  <si>
    <t>964</t>
  </si>
  <si>
    <t>967</t>
  </si>
  <si>
    <t>17-Oct-2020</t>
  </si>
  <si>
    <t>240</t>
  </si>
  <si>
    <t>1248</t>
  </si>
  <si>
    <t>4-Feb-2024</t>
  </si>
  <si>
    <t xml:space="preserve"> 1061</t>
  </si>
  <si>
    <t>1047</t>
  </si>
  <si>
    <t>14-Mar-2024</t>
  </si>
  <si>
    <t>1117</t>
  </si>
  <si>
    <t>27-Feb-2021</t>
  </si>
  <si>
    <t>311</t>
  </si>
  <si>
    <t>18-Jul-2020</t>
  </si>
  <si>
    <t>194</t>
  </si>
  <si>
    <t>998</t>
  </si>
  <si>
    <t>973</t>
  </si>
  <si>
    <t>1008</t>
  </si>
  <si>
    <t>999</t>
  </si>
  <si>
    <t>21-May-2022</t>
  </si>
  <si>
    <t>576</t>
  </si>
  <si>
    <t>1002</t>
  </si>
  <si>
    <t>1003</t>
  </si>
  <si>
    <t>2-Nov-2023</t>
  </si>
  <si>
    <t xml:space="preserve"> 940</t>
  </si>
  <si>
    <t>981</t>
  </si>
  <si>
    <t>1334</t>
  </si>
  <si>
    <t>971</t>
  </si>
  <si>
    <t>12-Apr-2025</t>
  </si>
  <si>
    <t>1587</t>
  </si>
  <si>
    <t>1000</t>
  </si>
  <si>
    <t>970</t>
  </si>
  <si>
    <t>20-May-2023</t>
  </si>
  <si>
    <t xml:space="preserve"> 788</t>
  </si>
  <si>
    <t>186</t>
  </si>
  <si>
    <t>188</t>
  </si>
  <si>
    <t>1-Mar-2024</t>
  </si>
  <si>
    <t>1069</t>
  </si>
  <si>
    <t>27-May-2023</t>
  </si>
  <si>
    <t>789</t>
  </si>
  <si>
    <t>2-Mar-2024</t>
  </si>
  <si>
    <t>1114</t>
  </si>
  <si>
    <t>4-Sept-2021</t>
  </si>
  <si>
    <t>187</t>
  </si>
  <si>
    <t>185</t>
  </si>
  <si>
    <t>4-Aug-2020</t>
  </si>
  <si>
    <t>220</t>
  </si>
  <si>
    <t>978</t>
  </si>
  <si>
    <t>1322</t>
  </si>
  <si>
    <t>5-Aug-2023</t>
  </si>
  <si>
    <t>866</t>
  </si>
  <si>
    <t>210</t>
  </si>
  <si>
    <t>974</t>
  </si>
  <si>
    <t>406</t>
  </si>
  <si>
    <t>975</t>
  </si>
  <si>
    <t>979</t>
  </si>
  <si>
    <t>25-Jul-2020</t>
  </si>
  <si>
    <t>199</t>
  </si>
  <si>
    <t>Jacklyn Mamdouh Aziz Loka</t>
  </si>
  <si>
    <t>Walaa Abdullah AbdelSadek Abdel Galil</t>
  </si>
  <si>
    <t>1-Jun-2024</t>
  </si>
  <si>
    <t>8-Jan-2020</t>
  </si>
  <si>
    <t>AbdelMoneim Sayed AbdelMoneim Sayed Darwish</t>
  </si>
  <si>
    <t>Rania Mohsen Ahmed Mohamed</t>
  </si>
  <si>
    <t>All Visit Days</t>
  </si>
  <si>
    <t>Aya Mohamed ElMetwaly ElSayed Aly Nabet</t>
  </si>
  <si>
    <t>kyrilles AbdElmalek Gorgy AbdElmalek Boghdady</t>
  </si>
  <si>
    <t>Mahmoud Hassan AbdelRaouf Mohamed El-Badawy</t>
  </si>
  <si>
    <t>12-Jul-2025</t>
  </si>
  <si>
    <t>17-Aug-2025</t>
  </si>
  <si>
    <t>1765</t>
  </si>
  <si>
    <t>Rabab SalahElDin Ragab AbdelRahman</t>
  </si>
  <si>
    <t>5-Jul-2025</t>
  </si>
  <si>
    <t>31-Jul-2025</t>
  </si>
  <si>
    <t>1721</t>
  </si>
  <si>
    <t>3-Aug-2025</t>
  </si>
  <si>
    <t>1754</t>
  </si>
  <si>
    <t>Manar Ehab Abbas Emam</t>
  </si>
  <si>
    <t>16-Aug-2025</t>
  </si>
  <si>
    <t>1764</t>
  </si>
  <si>
    <t>Katreen Safwat Shoukry AbdelShahid</t>
  </si>
  <si>
    <t>VACANT 1113</t>
  </si>
  <si>
    <t>Ingy Mahmoud Mohamed Ahmed ElSheikh</t>
  </si>
  <si>
    <t>Vacant_Faisal - Haram</t>
  </si>
  <si>
    <t>VACANT 1205</t>
  </si>
  <si>
    <t>Eman Hamdy Shahat Esmail</t>
  </si>
  <si>
    <t>2-Nov-2025</t>
  </si>
  <si>
    <t>VACANT 1229</t>
  </si>
  <si>
    <t>VACANT 1260</t>
  </si>
  <si>
    <t>Vacant_October_ElSheikhZaied</t>
  </si>
  <si>
    <t>DIAB-II BEHIRA-A</t>
  </si>
  <si>
    <t>DIAB-II BEHIRA-B</t>
  </si>
  <si>
    <t>DIAB-II BEHIRA-C</t>
  </si>
  <si>
    <t>VACANT 1298</t>
  </si>
  <si>
    <t>VACANT 1299</t>
  </si>
  <si>
    <t>VACANT 1300</t>
  </si>
  <si>
    <t>VACANT 1301</t>
  </si>
  <si>
    <t>DIAB-III ABBASEIA-KOBBAH</t>
  </si>
  <si>
    <t>DIAB-III CAIRO EAST</t>
  </si>
  <si>
    <t>DIAB-III AIN SHAMS</t>
  </si>
  <si>
    <t>DIAB-III HELIOPOLIS-A</t>
  </si>
  <si>
    <t>Guirgis Samir Azmy Iskandar</t>
  </si>
  <si>
    <t>DIAB-III HELIOPOLIS-B</t>
  </si>
  <si>
    <t>DIAB-III NASR CITY</t>
  </si>
  <si>
    <t>Vacant_NasrCity</t>
  </si>
  <si>
    <t>DIAB-III NEW CAIRO</t>
  </si>
  <si>
    <t>DIAB-III ISMAILIA-SUIZ</t>
  </si>
  <si>
    <t>Rania Helmy Lotfy Mohamed ElAsour</t>
  </si>
  <si>
    <t>DIAB-III SHOBRA EL KHEMAH</t>
  </si>
  <si>
    <t>DIAB-III CAIRO WEST</t>
  </si>
  <si>
    <t>DIAB-III CAIRO CENTER</t>
  </si>
  <si>
    <t>Mohamed Mostafa Mohamed Mahmoud Azzam</t>
  </si>
  <si>
    <t>DIAB-III CAIRO SOUTH</t>
  </si>
  <si>
    <t>Asmaa ElBel Zanaty Hussein Aly</t>
  </si>
  <si>
    <t>DIAB-III MAADI</t>
  </si>
  <si>
    <t>DIAB-III HELWAN</t>
  </si>
  <si>
    <t>DIAB-III QALUBIA-A</t>
  </si>
  <si>
    <t>DIAB-III QALUBIA-B</t>
  </si>
  <si>
    <t>Maha Magdy AbdelSalam Mahmoud Farag</t>
  </si>
  <si>
    <t>Mahmoud Lotfy Saied AbdelFatah</t>
  </si>
  <si>
    <t>Ahmed Adel Hosny Hassan</t>
  </si>
  <si>
    <t>DIAB-III DM CAIRO B</t>
  </si>
  <si>
    <t>DIAB-III DM CAIRO A</t>
  </si>
  <si>
    <t>DIAB-III SHARKIA-A</t>
  </si>
  <si>
    <t>DIAB-III SHARKIA-B</t>
  </si>
  <si>
    <t>DIAB-III SHARKIA-C</t>
  </si>
  <si>
    <t>Youssef AbdelBaset Esmail Ahmed Ammar Badran</t>
  </si>
  <si>
    <t>Anas Mohamed ElSayed Ibrahim Salem</t>
  </si>
  <si>
    <t>DIAB-III DAKAHLIA-A</t>
  </si>
  <si>
    <t>DIAB-III DAKAHLIA-B</t>
  </si>
  <si>
    <t>DIAB-III DAKAHLIA-C</t>
  </si>
  <si>
    <t>Donia Mahmoud Mohamed Ahmed Mowafy</t>
  </si>
  <si>
    <t>DIAB-III DOMIAT</t>
  </si>
  <si>
    <t>DIAB-III P. SAID-N. SINAI</t>
  </si>
  <si>
    <t>DIAB-III DM DELTA A</t>
  </si>
  <si>
    <t>DIAB-III MENOFYA-A</t>
  </si>
  <si>
    <t>DIAB-III MENOFYA-B</t>
  </si>
  <si>
    <t>Mostafa Mahmoud Gaber ElHajjar</t>
  </si>
  <si>
    <t>Zeinab Serry AbdelSamie Ammar</t>
  </si>
  <si>
    <t>DIAB-III GHARBIA-B</t>
  </si>
  <si>
    <t>DIAB-III GHARBIA-C</t>
  </si>
  <si>
    <t>DIAB-III GHARBIA-A</t>
  </si>
  <si>
    <t>Mariam AbuElMagd Ibrahim Abdullah ElNaggar</t>
  </si>
  <si>
    <t>Vacant_Gharbia_II</t>
  </si>
  <si>
    <t>Mohamed Ahmed ElSayed Ahmed ElTaras</t>
  </si>
  <si>
    <t>DIAB-III KAFR ELSHEIKH-A</t>
  </si>
  <si>
    <t>DIAB-III KAFR ELSHEIKH-B</t>
  </si>
  <si>
    <t>Mohamed ElSayed Mostafa Gaber</t>
  </si>
  <si>
    <t>DIAB-III DM DELTA B</t>
  </si>
  <si>
    <t>DIAB-III ALEX EAST-A</t>
  </si>
  <si>
    <t>DIAB-III ALEX EAST-B</t>
  </si>
  <si>
    <t>Ereny Awny Fouad Ibrahim Beshara</t>
  </si>
  <si>
    <t>DIAB-III ALEX WEST</t>
  </si>
  <si>
    <t>DIAB-III ALEX CENTER-A</t>
  </si>
  <si>
    <t>DIAB-III ALEX CENTER-B</t>
  </si>
  <si>
    <t>Mohamed Ayman Mohamed Mahmoud AbuShosha</t>
  </si>
  <si>
    <t>DIAB-III DM ALEX-BEHIR</t>
  </si>
  <si>
    <t>DIAB-III IMBABA</t>
  </si>
  <si>
    <t>DIAB-III HARAM-GIZA CENTERS</t>
  </si>
  <si>
    <t>DIAB-III DOKKI</t>
  </si>
  <si>
    <t>DIAB-III MOHANDSEEN</t>
  </si>
  <si>
    <t>DIAB-III FAISAL</t>
  </si>
  <si>
    <t>DIAB-III OCTOBER</t>
  </si>
  <si>
    <t>DIAB-III DM GIZA</t>
  </si>
  <si>
    <t>DIAB-III FAYOUM</t>
  </si>
  <si>
    <t>DIAB-III BANISUIF</t>
  </si>
  <si>
    <t>Rana Mohamed Hamed Fahmy</t>
  </si>
  <si>
    <t>DIAB-III MENIA-A</t>
  </si>
  <si>
    <t>DIAB-III MENIA-B</t>
  </si>
  <si>
    <t>Kamar AbdelSamie AbdelWahed Sawy</t>
  </si>
  <si>
    <t>DIAB-III ASSUIT-A</t>
  </si>
  <si>
    <t>DIAB-III ASSUIT-B</t>
  </si>
  <si>
    <t>DIAB-III DM UE B</t>
  </si>
  <si>
    <t>DIAB-III QENA-A</t>
  </si>
  <si>
    <t>DIAB-III QENA-B</t>
  </si>
  <si>
    <t>DIAB-III SOHAG I-A</t>
  </si>
  <si>
    <t>DIAB-III SOHAG I-B</t>
  </si>
  <si>
    <t>DIAB-III ASWAN</t>
  </si>
  <si>
    <t>DIAB-III DM UE A</t>
  </si>
  <si>
    <t>Vacant_Shoubraelkhemah</t>
  </si>
  <si>
    <t>Vacant_Alexcenter_I / Alex_west_I</t>
  </si>
  <si>
    <t>Vacant_Imbaba_I - Imbaba_II</t>
  </si>
  <si>
    <t>Vacant_Guiza_III</t>
  </si>
  <si>
    <t>Vacant_Assiut_INewValley</t>
  </si>
  <si>
    <t>Aya Mohamed Salah AbuElLail</t>
  </si>
  <si>
    <t>Ahmed Nasr AbdelGhany Mohamed</t>
  </si>
  <si>
    <t>Aya Aref Hussein AbdelHalim</t>
  </si>
  <si>
    <t>Fatma Fawzy Mohamed Mahmoud</t>
  </si>
  <si>
    <t>Hassan Mohamed Mokhtar Gab Allah</t>
  </si>
  <si>
    <t>Hazem Mohamed HasaBallah Esmail Ibrahim</t>
  </si>
  <si>
    <t>Kamal El-Din Magdy Abdel Fatah Allam</t>
  </si>
  <si>
    <t>Michael Adel AbdelMassih Awad</t>
  </si>
  <si>
    <t>Mohamed Hussein AbdelNaiem Ahmed AbdelNaiem</t>
  </si>
  <si>
    <t>Shady Ahmed Mahmoud Mohamed ElSayed</t>
  </si>
  <si>
    <t>VACANT 1403</t>
  </si>
  <si>
    <t>VACANT 1542</t>
  </si>
  <si>
    <t>Yasmin Aly Moursy Ismail Moursy</t>
  </si>
  <si>
    <t>Vacant_Delta 1</t>
  </si>
  <si>
    <t>Amin Ibrahim Mohamed Amin</t>
  </si>
  <si>
    <t>Mina Onsy Samy Mglea</t>
  </si>
  <si>
    <t>Line</t>
  </si>
  <si>
    <t>Diab III</t>
  </si>
  <si>
    <t>Average Daily Visits (Supposed Visit Days)</t>
  </si>
  <si>
    <t>Gehad Ahmed Gharib Mohamed Ahmed</t>
  </si>
  <si>
    <t>Mariam Moheb Salama HasaBallah Youssef</t>
  </si>
  <si>
    <t>Shady Nader Fathy Gad Ayoub</t>
  </si>
  <si>
    <t>Vacant_Upper Egypt B</t>
  </si>
  <si>
    <t>District Manager</t>
  </si>
  <si>
    <t>Business Unit</t>
  </si>
  <si>
    <t>Experience</t>
  </si>
  <si>
    <t>Period</t>
  </si>
  <si>
    <t>Probation</t>
  </si>
  <si>
    <t>Non-Probation</t>
  </si>
  <si>
    <t>Target Visits (Experienced)</t>
  </si>
  <si>
    <t>Target Visits Done (Experienced)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</si>
</sst>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7A7A7A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4" tint="0.39997558519241921"/>
        <bgColor rgb="FFA6A6A6"/>
      </patternFill>
    </fill>
    <fill>
      <patternFill patternType="solid">
        <fgColor rgb="FFFFC6C6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CCCC"/>
        <bgColor indexed="64"/>
      </patternFill>
    </fill>
    <fill>
      <patternFill patternType="solid">
        <fgColor theme="0" tint="-0.34998626667073579"/>
        <bgColor rgb="FFC2211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/>
    <xf numFmtId="0" fontId="7" fillId="0" borderId="1" xfId="0" applyFont="1" applyBorder="1"/>
    <xf numFmtId="0" fontId="8" fillId="0" borderId="1" xfId="0" applyFont="1" applyBorder="1"/>
    <xf numFmtId="1" fontId="3" fillId="0" borderId="1" xfId="0" applyNumberFormat="1" applyFont="1" applyBorder="1" applyAlignment="1">
      <alignment horizontal="center"/>
    </xf>
    <xf numFmtId="1" fontId="0" fillId="0" borderId="0" xfId="0" applyNumberFormat="1"/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9" fontId="4" fillId="6" borderId="1" xfId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/>
    <xf numFmtId="9" fontId="4" fillId="5" borderId="1" xfId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0" fontId="7" fillId="6" borderId="1" xfId="0" applyFont="1" applyFill="1" applyBorder="1"/>
    <xf numFmtId="0" fontId="12" fillId="5" borderId="1" xfId="0" applyFont="1" applyFill="1" applyBorder="1"/>
    <xf numFmtId="0" fontId="13" fillId="0" borderId="0" xfId="0" applyFont="1"/>
    <xf numFmtId="1" fontId="3" fillId="6" borderId="1" xfId="0" applyNumberFormat="1" applyFont="1" applyFill="1" applyBorder="1" applyAlignment="1">
      <alignment horizontal="center"/>
    </xf>
    <xf numFmtId="0" fontId="3" fillId="12" borderId="1" xfId="0" applyFont="1" applyFill="1" applyBorder="1"/>
    <xf numFmtId="164" fontId="3" fillId="0" borderId="1" xfId="0" applyNumberFormat="1" applyFont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5" fillId="11" borderId="1" xfId="0" applyFont="1" applyFill="1" applyBorder="1"/>
    <xf numFmtId="0" fontId="14" fillId="0" borderId="1" xfId="0" applyFont="1" applyBorder="1"/>
    <xf numFmtId="0" fontId="7" fillId="10" borderId="1" xfId="0" applyFont="1" applyFill="1" applyBorder="1"/>
    <xf numFmtId="0" fontId="15" fillId="11" borderId="1" xfId="0" applyFont="1" applyFill="1" applyBorder="1" applyAlignment="1">
      <alignment horizontal="left"/>
    </xf>
    <xf numFmtId="0" fontId="16" fillId="0" borderId="1" xfId="0" applyFont="1" applyBorder="1"/>
    <xf numFmtId="0" fontId="0" fillId="0" borderId="1" xfId="0" applyBorder="1"/>
    <xf numFmtId="164" fontId="15" fillId="13" borderId="1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left"/>
    </xf>
    <xf numFmtId="0" fontId="10" fillId="0" borderId="1" xfId="0" applyFont="1" applyBorder="1"/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4" fillId="14" borderId="1" xfId="0" applyFont="1" applyFill="1" applyBorder="1"/>
    <xf numFmtId="0" fontId="3" fillId="0" borderId="0" xfId="0" applyFont="1"/>
    <xf numFmtId="0" fontId="17" fillId="15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2" borderId="1" xfId="0" applyFont="1" applyFill="1" applyBorder="1"/>
    <xf numFmtId="0" fontId="3" fillId="16" borderId="0" xfId="0" applyFont="1" applyFill="1"/>
    <xf numFmtId="1" fontId="2" fillId="2" borderId="1" xfId="0" applyNumberFormat="1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1" fontId="7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0E4D-4119-45D4-B897-352DA1086934}">
  <dimension ref="A1:U65"/>
  <sheetViews>
    <sheetView workbookViewId="0">
      <pane xSplit="3" ySplit="2" topLeftCell="K3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RowHeight="14.5" x14ac:dyDescent="0.35"/>
  <cols>
    <col min="1" max="1" width="10.7265625" customWidth="1"/>
    <col min="2" max="2" width="7.08984375" customWidth="1"/>
    <col min="3" max="3" width="44.36328125" customWidth="1"/>
    <col min="4" max="4" width="17.36328125" customWidth="1"/>
    <col min="5" max="5" width="8.7265625" style="7"/>
    <col min="6" max="6" width="8.453125" style="7" customWidth="1"/>
    <col min="7" max="7" width="8" style="7" customWidth="1"/>
    <col min="8" max="8" width="7.7265625" style="7" customWidth="1"/>
    <col min="9" max="9" width="14.54296875" style="7" customWidth="1"/>
    <col min="10" max="10" width="11.54296875" style="7" customWidth="1"/>
    <col min="11" max="11" width="11" style="7" customWidth="1"/>
    <col min="12" max="12" width="10.1796875" style="7" customWidth="1"/>
    <col min="13" max="13" width="8.7265625" style="7" customWidth="1"/>
    <col min="14" max="14" width="11.36328125" style="7" customWidth="1"/>
    <col min="15" max="15" width="14.54296875" style="26" customWidth="1"/>
    <col min="16" max="16" width="17.54296875" style="7" customWidth="1"/>
    <col min="17" max="17" width="8.7265625" style="7"/>
    <col min="18" max="18" width="13.1796875" style="7" customWidth="1"/>
    <col min="19" max="19" width="10.26953125" style="12" customWidth="1"/>
    <col min="20" max="21" width="11.7265625" customWidth="1"/>
  </cols>
  <sheetData>
    <row r="1" spans="1:21" ht="14.5" customHeight="1" x14ac:dyDescent="0.35">
      <c r="A1" s="62" t="s">
        <v>138</v>
      </c>
      <c r="B1" s="62" t="s">
        <v>139</v>
      </c>
      <c r="C1" s="64" t="s">
        <v>0</v>
      </c>
      <c r="D1" s="64" t="s">
        <v>1</v>
      </c>
      <c r="E1" s="61" t="s">
        <v>2</v>
      </c>
      <c r="F1" s="61" t="s">
        <v>3</v>
      </c>
      <c r="G1" s="61" t="s">
        <v>4</v>
      </c>
      <c r="H1" s="61" t="s">
        <v>5</v>
      </c>
      <c r="I1" s="61" t="s">
        <v>6</v>
      </c>
      <c r="J1" s="61" t="s">
        <v>7</v>
      </c>
      <c r="K1" s="61" t="s">
        <v>8</v>
      </c>
      <c r="L1" s="61" t="s">
        <v>9</v>
      </c>
      <c r="M1" s="59" t="s">
        <v>10</v>
      </c>
      <c r="N1" s="61" t="s">
        <v>122</v>
      </c>
      <c r="O1" s="58" t="s">
        <v>12</v>
      </c>
      <c r="P1" s="61" t="s">
        <v>13</v>
      </c>
      <c r="Q1" s="61" t="s">
        <v>14</v>
      </c>
      <c r="R1" s="61" t="s">
        <v>15</v>
      </c>
      <c r="S1" s="57" t="s">
        <v>11</v>
      </c>
      <c r="T1" s="57" t="s">
        <v>134</v>
      </c>
      <c r="U1" s="57" t="s">
        <v>135</v>
      </c>
    </row>
    <row r="2" spans="1:21" ht="31.5" customHeight="1" x14ac:dyDescent="0.35">
      <c r="A2" s="63"/>
      <c r="B2" s="63"/>
      <c r="C2" s="65"/>
      <c r="D2" s="65"/>
      <c r="E2" s="61"/>
      <c r="F2" s="61"/>
      <c r="G2" s="61"/>
      <c r="H2" s="61"/>
      <c r="I2" s="61"/>
      <c r="J2" s="61"/>
      <c r="K2" s="61"/>
      <c r="L2" s="61"/>
      <c r="M2" s="60"/>
      <c r="N2" s="61"/>
      <c r="O2" s="58"/>
      <c r="P2" s="61"/>
      <c r="Q2" s="61"/>
      <c r="R2" s="61"/>
      <c r="S2" s="57"/>
      <c r="T2" s="57"/>
      <c r="U2" s="57"/>
    </row>
    <row r="3" spans="1:21" x14ac:dyDescent="0.35">
      <c r="A3" s="3" t="s">
        <v>229</v>
      </c>
      <c r="B3" s="3">
        <v>1707</v>
      </c>
      <c r="C3" s="1" t="s">
        <v>223</v>
      </c>
      <c r="D3" s="2" t="s">
        <v>42</v>
      </c>
      <c r="E3" s="3">
        <v>16</v>
      </c>
      <c r="F3" s="3">
        <v>0</v>
      </c>
      <c r="G3" s="3">
        <v>0</v>
      </c>
      <c r="H3" s="3">
        <v>0</v>
      </c>
      <c r="I3" s="3">
        <v>0</v>
      </c>
      <c r="J3" s="3">
        <v>11</v>
      </c>
      <c r="K3" s="3">
        <v>10</v>
      </c>
      <c r="L3" s="3">
        <v>1</v>
      </c>
      <c r="M3" s="3">
        <v>139</v>
      </c>
      <c r="N3" s="3">
        <v>76</v>
      </c>
      <c r="O3" s="4">
        <v>0.5467625899280576</v>
      </c>
      <c r="P3" s="5">
        <v>8.5</v>
      </c>
      <c r="Q3" s="6">
        <v>0</v>
      </c>
      <c r="R3" s="6">
        <v>3.8578431372548998</v>
      </c>
      <c r="S3" s="11">
        <v>85</v>
      </c>
      <c r="T3" s="3">
        <v>9</v>
      </c>
      <c r="U3" s="3">
        <v>9</v>
      </c>
    </row>
    <row r="4" spans="1:21" x14ac:dyDescent="0.35">
      <c r="A4" s="3" t="s">
        <v>140</v>
      </c>
      <c r="B4" s="3" t="s">
        <v>141</v>
      </c>
      <c r="C4" s="2" t="s">
        <v>121</v>
      </c>
      <c r="D4" s="2" t="s">
        <v>43</v>
      </c>
      <c r="E4" s="3">
        <v>16</v>
      </c>
      <c r="F4" s="3">
        <v>0</v>
      </c>
      <c r="G4" s="3">
        <v>0</v>
      </c>
      <c r="H4" s="3">
        <v>0</v>
      </c>
      <c r="I4" s="3">
        <v>0</v>
      </c>
      <c r="J4" s="3">
        <v>11</v>
      </c>
      <c r="K4" s="3">
        <v>9</v>
      </c>
      <c r="L4" s="20">
        <v>2</v>
      </c>
      <c r="M4" s="3">
        <v>196</v>
      </c>
      <c r="N4" s="3">
        <v>76</v>
      </c>
      <c r="O4" s="4">
        <v>0.38775510204081631</v>
      </c>
      <c r="P4" s="5">
        <v>8.8888888888888893</v>
      </c>
      <c r="Q4" s="6">
        <v>0.875</v>
      </c>
      <c r="R4" s="6">
        <v>7.6460416666666697</v>
      </c>
      <c r="S4" s="11">
        <v>80</v>
      </c>
      <c r="T4" s="3">
        <v>9</v>
      </c>
      <c r="U4" s="3">
        <v>4</v>
      </c>
    </row>
    <row r="5" spans="1:21" x14ac:dyDescent="0.35">
      <c r="A5" s="3" t="s">
        <v>142</v>
      </c>
      <c r="B5" s="3" t="s">
        <v>143</v>
      </c>
      <c r="C5" s="2" t="s">
        <v>130</v>
      </c>
      <c r="D5" s="2" t="s">
        <v>44</v>
      </c>
      <c r="E5" s="3">
        <v>16</v>
      </c>
      <c r="F5" s="3">
        <v>0</v>
      </c>
      <c r="G5" s="3">
        <v>0</v>
      </c>
      <c r="H5" s="3">
        <v>0</v>
      </c>
      <c r="I5" s="3">
        <v>0</v>
      </c>
      <c r="J5" s="3">
        <v>11</v>
      </c>
      <c r="K5" s="3">
        <v>5</v>
      </c>
      <c r="L5" s="20">
        <v>6</v>
      </c>
      <c r="M5" s="3">
        <v>142</v>
      </c>
      <c r="N5" s="3">
        <v>50</v>
      </c>
      <c r="O5" s="4">
        <v>0.352112676056338</v>
      </c>
      <c r="P5" s="5">
        <v>10.199999999999999</v>
      </c>
      <c r="Q5" s="6">
        <v>1.9803921568627501</v>
      </c>
      <c r="R5" s="6">
        <v>5.5983660130719004</v>
      </c>
      <c r="S5" s="11">
        <v>51</v>
      </c>
      <c r="T5" s="3">
        <v>8</v>
      </c>
      <c r="U5" s="3">
        <v>1</v>
      </c>
    </row>
    <row r="6" spans="1:21" x14ac:dyDescent="0.35">
      <c r="A6" s="3" t="s">
        <v>144</v>
      </c>
      <c r="B6" s="3" t="s">
        <v>145</v>
      </c>
      <c r="C6" s="2" t="s">
        <v>116</v>
      </c>
      <c r="D6" s="2" t="s">
        <v>45</v>
      </c>
      <c r="E6" s="3">
        <v>16</v>
      </c>
      <c r="F6" s="3">
        <v>0</v>
      </c>
      <c r="G6" s="3">
        <v>0</v>
      </c>
      <c r="H6" s="3">
        <v>0</v>
      </c>
      <c r="I6" s="3">
        <v>0</v>
      </c>
      <c r="J6" s="3">
        <v>11</v>
      </c>
      <c r="K6" s="3">
        <v>8</v>
      </c>
      <c r="L6" s="20">
        <v>3</v>
      </c>
      <c r="M6" s="3">
        <v>166</v>
      </c>
      <c r="N6" s="3">
        <v>52</v>
      </c>
      <c r="O6" s="4">
        <v>0.31325301204819278</v>
      </c>
      <c r="P6" s="5">
        <v>6.875</v>
      </c>
      <c r="Q6" s="6">
        <v>0</v>
      </c>
      <c r="R6" s="6">
        <v>9.0387878787878808</v>
      </c>
      <c r="S6" s="11">
        <v>55</v>
      </c>
      <c r="T6" s="3">
        <v>8</v>
      </c>
      <c r="U6" s="3">
        <v>3</v>
      </c>
    </row>
    <row r="7" spans="1:21" x14ac:dyDescent="0.35">
      <c r="A7" s="3" t="s">
        <v>146</v>
      </c>
      <c r="B7" s="3" t="s">
        <v>147</v>
      </c>
      <c r="C7" s="2" t="s">
        <v>124</v>
      </c>
      <c r="D7" s="2" t="s">
        <v>46</v>
      </c>
      <c r="E7" s="3">
        <v>16</v>
      </c>
      <c r="F7" s="3">
        <v>0</v>
      </c>
      <c r="G7" s="3">
        <v>0</v>
      </c>
      <c r="H7" s="3">
        <v>0</v>
      </c>
      <c r="I7" s="3">
        <v>0</v>
      </c>
      <c r="J7" s="3">
        <v>11</v>
      </c>
      <c r="K7" s="3">
        <v>9</v>
      </c>
      <c r="L7" s="20">
        <v>2</v>
      </c>
      <c r="M7" s="3">
        <v>153</v>
      </c>
      <c r="N7" s="3">
        <v>61</v>
      </c>
      <c r="O7" s="4">
        <v>0.39869281045751637</v>
      </c>
      <c r="P7" s="5">
        <v>6.7777777777777803</v>
      </c>
      <c r="Q7" s="6">
        <v>0</v>
      </c>
      <c r="R7" s="6">
        <v>23.8284153005464</v>
      </c>
      <c r="S7" s="11">
        <v>61</v>
      </c>
      <c r="T7" s="3">
        <v>7</v>
      </c>
      <c r="U7" s="3">
        <v>0</v>
      </c>
    </row>
    <row r="8" spans="1:21" x14ac:dyDescent="0.35">
      <c r="A8" s="3" t="s">
        <v>148</v>
      </c>
      <c r="B8" s="3" t="s">
        <v>149</v>
      </c>
      <c r="C8" s="2" t="s">
        <v>16</v>
      </c>
      <c r="D8" s="2" t="s">
        <v>47</v>
      </c>
      <c r="E8" s="3">
        <v>16</v>
      </c>
      <c r="F8" s="3">
        <v>0</v>
      </c>
      <c r="G8" s="3">
        <v>0</v>
      </c>
      <c r="H8" s="3">
        <v>0</v>
      </c>
      <c r="I8" s="3">
        <v>0</v>
      </c>
      <c r="J8" s="3">
        <v>11</v>
      </c>
      <c r="K8" s="3">
        <v>8</v>
      </c>
      <c r="L8" s="20">
        <v>3</v>
      </c>
      <c r="M8" s="3">
        <v>147</v>
      </c>
      <c r="N8" s="3">
        <v>51</v>
      </c>
      <c r="O8" s="4">
        <v>0.34693877551020408</v>
      </c>
      <c r="P8" s="5">
        <v>6.875</v>
      </c>
      <c r="Q8" s="6">
        <v>1</v>
      </c>
      <c r="R8" s="6">
        <v>4.9654545454545502</v>
      </c>
      <c r="S8" s="11">
        <v>55</v>
      </c>
      <c r="T8" s="3">
        <v>8</v>
      </c>
      <c r="U8" s="3">
        <v>4</v>
      </c>
    </row>
    <row r="9" spans="1:21" x14ac:dyDescent="0.35">
      <c r="A9" s="3" t="s">
        <v>144</v>
      </c>
      <c r="B9" s="3" t="s">
        <v>150</v>
      </c>
      <c r="C9" s="2" t="s">
        <v>48</v>
      </c>
      <c r="D9" s="2" t="s">
        <v>49</v>
      </c>
      <c r="E9" s="3">
        <v>16</v>
      </c>
      <c r="F9" s="3">
        <v>0</v>
      </c>
      <c r="G9" s="3">
        <v>0</v>
      </c>
      <c r="H9" s="3">
        <v>0</v>
      </c>
      <c r="I9" s="3">
        <v>0</v>
      </c>
      <c r="J9" s="3">
        <v>11</v>
      </c>
      <c r="K9" s="3">
        <v>10</v>
      </c>
      <c r="L9" s="20">
        <v>1</v>
      </c>
      <c r="M9" s="3">
        <v>154</v>
      </c>
      <c r="N9" s="3">
        <v>71</v>
      </c>
      <c r="O9" s="4">
        <v>0.46103896103896103</v>
      </c>
      <c r="P9" s="5">
        <v>7.5</v>
      </c>
      <c r="Q9" s="6">
        <v>0</v>
      </c>
      <c r="R9" s="6">
        <v>10.142444444444401</v>
      </c>
      <c r="S9" s="11">
        <v>75</v>
      </c>
      <c r="T9" s="3">
        <v>8</v>
      </c>
      <c r="U9" s="3">
        <v>4</v>
      </c>
    </row>
    <row r="10" spans="1:21" x14ac:dyDescent="0.35">
      <c r="A10" s="3" t="s">
        <v>151</v>
      </c>
      <c r="B10" s="3" t="s">
        <v>152</v>
      </c>
      <c r="C10" s="2" t="s">
        <v>123</v>
      </c>
      <c r="D10" s="2" t="s">
        <v>50</v>
      </c>
      <c r="E10" s="3">
        <v>16</v>
      </c>
      <c r="F10" s="3">
        <v>0</v>
      </c>
      <c r="G10" s="3">
        <v>0</v>
      </c>
      <c r="H10" s="3">
        <v>0</v>
      </c>
      <c r="I10" s="3">
        <v>0</v>
      </c>
      <c r="J10" s="3">
        <v>11</v>
      </c>
      <c r="K10" s="3">
        <v>10</v>
      </c>
      <c r="L10" s="20">
        <v>1</v>
      </c>
      <c r="M10" s="3">
        <v>179</v>
      </c>
      <c r="N10" s="3">
        <v>79</v>
      </c>
      <c r="O10" s="4">
        <v>0.44134078212290501</v>
      </c>
      <c r="P10" s="5">
        <v>8.7777777777777803</v>
      </c>
      <c r="Q10" s="6">
        <v>0</v>
      </c>
      <c r="R10" s="6">
        <v>15.875105485232099</v>
      </c>
      <c r="S10" s="11">
        <v>79</v>
      </c>
      <c r="T10" s="3">
        <v>9</v>
      </c>
      <c r="U10" s="3">
        <v>0</v>
      </c>
    </row>
    <row r="11" spans="1:21" x14ac:dyDescent="0.35">
      <c r="A11" s="17" t="s">
        <v>153</v>
      </c>
      <c r="B11" s="17" t="s">
        <v>154</v>
      </c>
      <c r="C11" s="16" t="s">
        <v>131</v>
      </c>
      <c r="D11" s="16" t="s">
        <v>17</v>
      </c>
      <c r="E11" s="17">
        <v>16</v>
      </c>
      <c r="F11" s="17">
        <v>0</v>
      </c>
      <c r="G11" s="17">
        <v>0</v>
      </c>
      <c r="H11" s="17">
        <v>0</v>
      </c>
      <c r="I11" s="17">
        <v>0</v>
      </c>
      <c r="J11" s="17">
        <v>11</v>
      </c>
      <c r="K11" s="17">
        <v>6</v>
      </c>
      <c r="L11" s="17">
        <v>5</v>
      </c>
      <c r="M11" s="17">
        <v>1137</v>
      </c>
      <c r="N11" s="17">
        <v>440</v>
      </c>
      <c r="O11" s="18">
        <v>0.38698328935795956</v>
      </c>
      <c r="P11" s="19">
        <v>7.984920634920635</v>
      </c>
      <c r="Q11" s="19">
        <v>0.55077030812325001</v>
      </c>
      <c r="R11" s="19">
        <v>11.013516476314845</v>
      </c>
      <c r="S11" s="17">
        <v>456</v>
      </c>
      <c r="T11" s="17"/>
      <c r="U11" s="17"/>
    </row>
    <row r="12" spans="1:21" x14ac:dyDescent="0.35">
      <c r="A12" s="3" t="s">
        <v>155</v>
      </c>
      <c r="B12" s="3" t="s">
        <v>156</v>
      </c>
      <c r="C12" s="2" t="s">
        <v>18</v>
      </c>
      <c r="D12" s="2" t="s">
        <v>51</v>
      </c>
      <c r="E12" s="3">
        <v>16</v>
      </c>
      <c r="F12" s="3">
        <v>0</v>
      </c>
      <c r="G12" s="3">
        <v>0.5</v>
      </c>
      <c r="H12" s="3">
        <v>0</v>
      </c>
      <c r="I12" s="3">
        <v>0.5</v>
      </c>
      <c r="J12" s="3">
        <v>10.5</v>
      </c>
      <c r="K12" s="3">
        <v>10</v>
      </c>
      <c r="L12" s="20">
        <v>0.5</v>
      </c>
      <c r="M12" s="3">
        <v>170</v>
      </c>
      <c r="N12" s="3">
        <v>71</v>
      </c>
      <c r="O12" s="4">
        <v>0.41764705882352943</v>
      </c>
      <c r="P12" s="5">
        <v>7.2</v>
      </c>
      <c r="Q12" s="6">
        <v>0</v>
      </c>
      <c r="R12" s="6">
        <v>11.996759259259299</v>
      </c>
      <c r="S12" s="11">
        <v>72</v>
      </c>
      <c r="T12" s="3">
        <v>8</v>
      </c>
      <c r="U12" s="3">
        <v>1</v>
      </c>
    </row>
    <row r="13" spans="1:21" x14ac:dyDescent="0.35">
      <c r="A13" s="3" t="s">
        <v>144</v>
      </c>
      <c r="B13" s="3" t="s">
        <v>157</v>
      </c>
      <c r="C13" s="24" t="s">
        <v>52</v>
      </c>
      <c r="D13" s="2" t="s">
        <v>53</v>
      </c>
      <c r="E13" s="3">
        <v>16</v>
      </c>
      <c r="F13" s="3">
        <v>0</v>
      </c>
      <c r="G13" s="3">
        <v>0</v>
      </c>
      <c r="H13" s="3">
        <v>2</v>
      </c>
      <c r="I13" s="3">
        <v>2</v>
      </c>
      <c r="J13" s="3">
        <v>9</v>
      </c>
      <c r="K13" s="3">
        <v>8</v>
      </c>
      <c r="L13" s="3">
        <v>1</v>
      </c>
      <c r="M13" s="3">
        <v>154</v>
      </c>
      <c r="N13" s="3">
        <v>53</v>
      </c>
      <c r="O13" s="4">
        <v>0.34415584415584416</v>
      </c>
      <c r="P13" s="5">
        <v>6.75</v>
      </c>
      <c r="Q13" s="6">
        <v>0</v>
      </c>
      <c r="R13" s="6">
        <v>14.3450617283951</v>
      </c>
      <c r="S13" s="11">
        <v>54</v>
      </c>
      <c r="T13" s="3">
        <v>8</v>
      </c>
      <c r="U13" s="3">
        <v>1</v>
      </c>
    </row>
    <row r="14" spans="1:21" x14ac:dyDescent="0.35">
      <c r="A14" s="3" t="s">
        <v>230</v>
      </c>
      <c r="B14" s="3" t="s">
        <v>231</v>
      </c>
      <c r="C14" s="1" t="s">
        <v>232</v>
      </c>
      <c r="D14" s="2" t="s">
        <v>54</v>
      </c>
      <c r="E14" s="3">
        <v>16</v>
      </c>
      <c r="F14" s="3">
        <v>0</v>
      </c>
      <c r="G14" s="3">
        <v>0</v>
      </c>
      <c r="H14" s="3">
        <v>1</v>
      </c>
      <c r="I14" s="3">
        <v>1</v>
      </c>
      <c r="J14" s="3">
        <v>10</v>
      </c>
      <c r="K14" s="3">
        <v>10</v>
      </c>
      <c r="L14" s="3">
        <v>0</v>
      </c>
      <c r="M14" s="3">
        <v>119</v>
      </c>
      <c r="N14" s="3">
        <v>47</v>
      </c>
      <c r="O14" s="4">
        <v>0.3949579831932773</v>
      </c>
      <c r="P14" s="5">
        <v>5.0999999999999996</v>
      </c>
      <c r="Q14" s="6">
        <v>0</v>
      </c>
      <c r="R14" s="6">
        <v>11.113071895424801</v>
      </c>
      <c r="S14" s="11">
        <v>51</v>
      </c>
      <c r="T14" s="3">
        <v>6</v>
      </c>
      <c r="U14" s="3">
        <v>4</v>
      </c>
    </row>
    <row r="15" spans="1:21" x14ac:dyDescent="0.35">
      <c r="A15" s="3" t="s">
        <v>158</v>
      </c>
      <c r="B15" s="3" t="s">
        <v>159</v>
      </c>
      <c r="C15" s="2" t="s">
        <v>136</v>
      </c>
      <c r="D15" s="2" t="s">
        <v>55</v>
      </c>
      <c r="E15" s="3">
        <v>16</v>
      </c>
      <c r="F15" s="3">
        <v>0</v>
      </c>
      <c r="G15" s="3">
        <v>0</v>
      </c>
      <c r="H15" s="3">
        <v>1</v>
      </c>
      <c r="I15" s="3">
        <v>1</v>
      </c>
      <c r="J15" s="3">
        <v>10</v>
      </c>
      <c r="K15" s="3">
        <v>8</v>
      </c>
      <c r="L15" s="20">
        <v>2</v>
      </c>
      <c r="M15" s="3">
        <v>208</v>
      </c>
      <c r="N15" s="3">
        <v>76</v>
      </c>
      <c r="O15" s="4">
        <v>0.36538461538461536</v>
      </c>
      <c r="P15" s="5">
        <v>9.875</v>
      </c>
      <c r="Q15" s="6">
        <v>0</v>
      </c>
      <c r="R15" s="6">
        <v>8.4715189873417707</v>
      </c>
      <c r="S15" s="11">
        <v>79</v>
      </c>
      <c r="T15" s="3">
        <v>8</v>
      </c>
      <c r="U15" s="3">
        <v>3</v>
      </c>
    </row>
    <row r="16" spans="1:21" x14ac:dyDescent="0.35">
      <c r="A16" s="3" t="s">
        <v>160</v>
      </c>
      <c r="B16" s="3" t="s">
        <v>161</v>
      </c>
      <c r="C16" s="2" t="s">
        <v>19</v>
      </c>
      <c r="D16" s="2" t="s">
        <v>56</v>
      </c>
      <c r="E16" s="3">
        <v>16</v>
      </c>
      <c r="F16" s="3">
        <v>0</v>
      </c>
      <c r="G16" s="3">
        <v>5</v>
      </c>
      <c r="H16" s="3">
        <v>0</v>
      </c>
      <c r="I16" s="3">
        <v>5</v>
      </c>
      <c r="J16" s="3">
        <v>6</v>
      </c>
      <c r="K16" s="3">
        <v>6</v>
      </c>
      <c r="L16" s="3">
        <v>0</v>
      </c>
      <c r="M16" s="3">
        <v>108</v>
      </c>
      <c r="N16" s="3">
        <v>28</v>
      </c>
      <c r="O16" s="4">
        <v>0.25925925925925924</v>
      </c>
      <c r="P16" s="5">
        <v>4.8333333333333304</v>
      </c>
      <c r="Q16" s="6">
        <v>0</v>
      </c>
      <c r="R16" s="6">
        <v>13.9603448275862</v>
      </c>
      <c r="S16" s="11">
        <v>29</v>
      </c>
      <c r="T16" s="23">
        <v>5</v>
      </c>
      <c r="U16" s="3">
        <v>1</v>
      </c>
    </row>
    <row r="17" spans="1:21" x14ac:dyDescent="0.35">
      <c r="A17" s="3" t="s">
        <v>144</v>
      </c>
      <c r="B17" s="3" t="s">
        <v>162</v>
      </c>
      <c r="C17" s="2" t="s">
        <v>57</v>
      </c>
      <c r="D17" s="2" t="s">
        <v>58</v>
      </c>
      <c r="E17" s="3">
        <v>16</v>
      </c>
      <c r="F17" s="3">
        <v>0</v>
      </c>
      <c r="G17" s="3">
        <v>0</v>
      </c>
      <c r="H17" s="3">
        <v>1</v>
      </c>
      <c r="I17" s="3">
        <v>1</v>
      </c>
      <c r="J17" s="3">
        <v>10</v>
      </c>
      <c r="K17" s="3">
        <v>10</v>
      </c>
      <c r="L17" s="3">
        <v>0</v>
      </c>
      <c r="M17" s="3">
        <v>166</v>
      </c>
      <c r="N17" s="3">
        <v>79</v>
      </c>
      <c r="O17" s="4">
        <v>0.4759036144578313</v>
      </c>
      <c r="P17" s="5">
        <v>8</v>
      </c>
      <c r="Q17" s="6">
        <v>1.825</v>
      </c>
      <c r="R17" s="6">
        <v>8.7287499999999998</v>
      </c>
      <c r="S17" s="11">
        <v>80</v>
      </c>
      <c r="T17" s="3">
        <v>8</v>
      </c>
      <c r="U17" s="3">
        <v>1</v>
      </c>
    </row>
    <row r="18" spans="1:21" x14ac:dyDescent="0.35">
      <c r="A18" s="3" t="s">
        <v>144</v>
      </c>
      <c r="B18" s="3" t="s">
        <v>163</v>
      </c>
      <c r="C18" s="2" t="s">
        <v>59</v>
      </c>
      <c r="D18" s="2" t="s">
        <v>60</v>
      </c>
      <c r="E18" s="3">
        <v>16</v>
      </c>
      <c r="F18" s="3">
        <v>0</v>
      </c>
      <c r="G18" s="3">
        <v>0</v>
      </c>
      <c r="H18" s="3">
        <v>1</v>
      </c>
      <c r="I18" s="3">
        <v>1</v>
      </c>
      <c r="J18" s="3">
        <v>10</v>
      </c>
      <c r="K18" s="3">
        <v>8</v>
      </c>
      <c r="L18" s="20">
        <v>2</v>
      </c>
      <c r="M18" s="3">
        <v>135</v>
      </c>
      <c r="N18" s="3">
        <v>72</v>
      </c>
      <c r="O18" s="4">
        <v>0.53333333333333333</v>
      </c>
      <c r="P18" s="5">
        <v>9</v>
      </c>
      <c r="Q18" s="6">
        <v>0</v>
      </c>
      <c r="R18" s="6">
        <v>15.9460648148148</v>
      </c>
      <c r="S18" s="11">
        <v>72</v>
      </c>
      <c r="T18" s="3">
        <v>8</v>
      </c>
      <c r="U18" s="3">
        <v>0</v>
      </c>
    </row>
    <row r="19" spans="1:21" x14ac:dyDescent="0.35">
      <c r="A19" s="17" t="s">
        <v>164</v>
      </c>
      <c r="B19" s="17" t="s">
        <v>165</v>
      </c>
      <c r="C19" s="16" t="s">
        <v>126</v>
      </c>
      <c r="D19" s="16" t="s">
        <v>22</v>
      </c>
      <c r="E19" s="17">
        <v>16</v>
      </c>
      <c r="F19" s="17">
        <v>0</v>
      </c>
      <c r="G19" s="17">
        <v>0</v>
      </c>
      <c r="H19" s="17">
        <v>0</v>
      </c>
      <c r="I19" s="17">
        <v>0</v>
      </c>
      <c r="J19" s="17">
        <v>11</v>
      </c>
      <c r="K19" s="17">
        <v>6</v>
      </c>
      <c r="L19" s="17">
        <v>5</v>
      </c>
      <c r="M19" s="17">
        <v>787</v>
      </c>
      <c r="N19" s="17">
        <v>326</v>
      </c>
      <c r="O19" s="18">
        <v>0.41423125794155019</v>
      </c>
      <c r="P19" s="19">
        <v>7.7816666666666663</v>
      </c>
      <c r="Q19" s="19">
        <v>0.36499999999999999</v>
      </c>
      <c r="R19" s="19">
        <v>11.820687577800413</v>
      </c>
      <c r="S19" s="17">
        <v>332</v>
      </c>
      <c r="T19" s="17">
        <v>0</v>
      </c>
      <c r="U19" s="17"/>
    </row>
    <row r="20" spans="1:21" x14ac:dyDescent="0.35">
      <c r="A20" s="3" t="s">
        <v>151</v>
      </c>
      <c r="B20" s="3" t="s">
        <v>166</v>
      </c>
      <c r="C20" s="10" t="s">
        <v>125</v>
      </c>
      <c r="D20" s="2" t="s">
        <v>61</v>
      </c>
      <c r="E20" s="3">
        <v>16</v>
      </c>
      <c r="F20" s="3">
        <v>0</v>
      </c>
      <c r="G20" s="3">
        <v>1</v>
      </c>
      <c r="H20" s="3">
        <v>0</v>
      </c>
      <c r="I20" s="3">
        <v>1</v>
      </c>
      <c r="J20" s="3">
        <v>10</v>
      </c>
      <c r="K20" s="3">
        <v>9</v>
      </c>
      <c r="L20" s="20">
        <v>1</v>
      </c>
      <c r="M20" s="3">
        <v>189</v>
      </c>
      <c r="N20" s="3">
        <v>79</v>
      </c>
      <c r="O20" s="4">
        <v>0.41798941798941797</v>
      </c>
      <c r="P20" s="5">
        <v>8.8888888888888893</v>
      </c>
      <c r="Q20" s="6">
        <v>1.675</v>
      </c>
      <c r="R20" s="6">
        <v>20.086041666666699</v>
      </c>
      <c r="S20" s="11">
        <v>80</v>
      </c>
      <c r="T20" s="3">
        <v>9</v>
      </c>
      <c r="U20" s="3">
        <v>1</v>
      </c>
    </row>
    <row r="21" spans="1:21" x14ac:dyDescent="0.35">
      <c r="A21" s="3" t="s">
        <v>233</v>
      </c>
      <c r="B21" s="3">
        <v>1701</v>
      </c>
      <c r="C21" s="1" t="s">
        <v>224</v>
      </c>
      <c r="D21" s="2" t="s">
        <v>62</v>
      </c>
      <c r="E21" s="3">
        <v>16</v>
      </c>
      <c r="F21" s="3">
        <v>0</v>
      </c>
      <c r="G21" s="3">
        <v>0</v>
      </c>
      <c r="H21" s="3">
        <v>0</v>
      </c>
      <c r="I21" s="3">
        <v>0</v>
      </c>
      <c r="J21" s="3">
        <v>11</v>
      </c>
      <c r="K21" s="3">
        <v>9</v>
      </c>
      <c r="L21" s="3">
        <v>2</v>
      </c>
      <c r="M21" s="3">
        <v>192</v>
      </c>
      <c r="N21" s="3">
        <v>82</v>
      </c>
      <c r="O21" s="4">
        <v>0.42708333333333331</v>
      </c>
      <c r="P21" s="5">
        <v>9.3333333333333304</v>
      </c>
      <c r="Q21" s="6">
        <v>3.5714285714285698E-2</v>
      </c>
      <c r="R21" s="6">
        <v>14.421428571428599</v>
      </c>
      <c r="S21" s="11">
        <v>84</v>
      </c>
      <c r="T21" s="3">
        <v>10</v>
      </c>
      <c r="U21" s="3">
        <v>2</v>
      </c>
    </row>
    <row r="22" spans="1:21" x14ac:dyDescent="0.35">
      <c r="A22" s="3" t="s">
        <v>167</v>
      </c>
      <c r="B22" s="3" t="s">
        <v>168</v>
      </c>
      <c r="C22" s="2" t="s">
        <v>63</v>
      </c>
      <c r="D22" s="2" t="s">
        <v>64</v>
      </c>
      <c r="E22" s="3">
        <v>16</v>
      </c>
      <c r="F22" s="3">
        <v>0</v>
      </c>
      <c r="G22" s="3">
        <v>6</v>
      </c>
      <c r="H22" s="3">
        <v>0</v>
      </c>
      <c r="I22" s="3">
        <v>6</v>
      </c>
      <c r="J22" s="3">
        <v>5</v>
      </c>
      <c r="K22" s="3">
        <v>5</v>
      </c>
      <c r="L22" s="3">
        <v>0</v>
      </c>
      <c r="M22" s="3">
        <v>207</v>
      </c>
      <c r="N22" s="3">
        <v>50</v>
      </c>
      <c r="O22" s="4">
        <v>0.24154589371980675</v>
      </c>
      <c r="P22" s="5">
        <v>10</v>
      </c>
      <c r="Q22" s="6">
        <v>1.84</v>
      </c>
      <c r="R22" s="6">
        <v>16.872666666666699</v>
      </c>
      <c r="S22" s="11">
        <v>50</v>
      </c>
      <c r="T22" s="3">
        <v>10</v>
      </c>
      <c r="U22" s="3">
        <v>0</v>
      </c>
    </row>
    <row r="23" spans="1:21" x14ac:dyDescent="0.35">
      <c r="A23" s="3" t="s">
        <v>144</v>
      </c>
      <c r="B23" s="3" t="s">
        <v>169</v>
      </c>
      <c r="C23" s="2" t="s">
        <v>65</v>
      </c>
      <c r="D23" s="2" t="s">
        <v>66</v>
      </c>
      <c r="E23" s="3">
        <v>16</v>
      </c>
      <c r="F23" s="3">
        <v>0</v>
      </c>
      <c r="G23" s="3">
        <v>1</v>
      </c>
      <c r="H23" s="3">
        <v>0</v>
      </c>
      <c r="I23" s="3">
        <v>1</v>
      </c>
      <c r="J23" s="3">
        <v>10</v>
      </c>
      <c r="K23" s="3">
        <v>8</v>
      </c>
      <c r="L23" s="20">
        <v>2</v>
      </c>
      <c r="M23" s="3">
        <v>168</v>
      </c>
      <c r="N23" s="3">
        <v>72</v>
      </c>
      <c r="O23" s="4">
        <v>0.42857142857142855</v>
      </c>
      <c r="P23" s="5">
        <v>9</v>
      </c>
      <c r="Q23" s="6">
        <v>0</v>
      </c>
      <c r="R23" s="6">
        <v>18.15625</v>
      </c>
      <c r="S23" s="11">
        <v>72</v>
      </c>
      <c r="T23" s="3">
        <v>8</v>
      </c>
      <c r="U23" s="3">
        <v>0</v>
      </c>
    </row>
    <row r="24" spans="1:21" x14ac:dyDescent="0.35">
      <c r="A24" s="3" t="s">
        <v>170</v>
      </c>
      <c r="B24" s="3" t="s">
        <v>171</v>
      </c>
      <c r="C24" s="2" t="s">
        <v>117</v>
      </c>
      <c r="D24" s="2" t="s">
        <v>67</v>
      </c>
      <c r="E24" s="3">
        <v>16</v>
      </c>
      <c r="F24" s="3">
        <v>0</v>
      </c>
      <c r="G24" s="3">
        <v>0</v>
      </c>
      <c r="H24" s="3">
        <v>0</v>
      </c>
      <c r="I24" s="3">
        <v>0</v>
      </c>
      <c r="J24" s="3">
        <v>11</v>
      </c>
      <c r="K24" s="3">
        <v>10</v>
      </c>
      <c r="L24" s="20">
        <v>1</v>
      </c>
      <c r="M24" s="3">
        <v>175</v>
      </c>
      <c r="N24" s="3">
        <v>71</v>
      </c>
      <c r="O24" s="4">
        <v>0.40571428571428569</v>
      </c>
      <c r="P24" s="5">
        <v>7.4</v>
      </c>
      <c r="Q24" s="6">
        <v>1.4729729729729699</v>
      </c>
      <c r="R24" s="6">
        <v>24.176801801801801</v>
      </c>
      <c r="S24" s="11">
        <v>74</v>
      </c>
      <c r="T24" s="3">
        <v>9</v>
      </c>
      <c r="U24" s="3">
        <v>3</v>
      </c>
    </row>
    <row r="25" spans="1:21" x14ac:dyDescent="0.35">
      <c r="A25" s="3" t="s">
        <v>172</v>
      </c>
      <c r="B25" s="3" t="s">
        <v>173</v>
      </c>
      <c r="C25" s="2" t="s">
        <v>25</v>
      </c>
      <c r="D25" s="2" t="s">
        <v>68</v>
      </c>
      <c r="E25" s="3">
        <v>16</v>
      </c>
      <c r="F25" s="3">
        <v>0</v>
      </c>
      <c r="G25" s="3">
        <v>1</v>
      </c>
      <c r="H25" s="3">
        <v>0</v>
      </c>
      <c r="I25" s="3">
        <v>1</v>
      </c>
      <c r="J25" s="3">
        <v>10</v>
      </c>
      <c r="K25" s="3">
        <v>9</v>
      </c>
      <c r="L25" s="20">
        <v>1</v>
      </c>
      <c r="M25" s="3">
        <v>212</v>
      </c>
      <c r="N25" s="3">
        <v>76</v>
      </c>
      <c r="O25" s="4">
        <v>0.35849056603773582</v>
      </c>
      <c r="P25" s="5">
        <v>8.4444444444444393</v>
      </c>
      <c r="Q25" s="6">
        <v>0</v>
      </c>
      <c r="R25" s="6">
        <v>12.3640350877193</v>
      </c>
      <c r="S25" s="11">
        <v>76</v>
      </c>
      <c r="T25" s="3">
        <v>10</v>
      </c>
      <c r="U25" s="3">
        <v>0</v>
      </c>
    </row>
    <row r="26" spans="1:21" x14ac:dyDescent="0.35">
      <c r="A26" s="3" t="s">
        <v>174</v>
      </c>
      <c r="B26" s="3" t="s">
        <v>175</v>
      </c>
      <c r="C26" s="2" t="s">
        <v>26</v>
      </c>
      <c r="D26" s="2" t="s">
        <v>69</v>
      </c>
      <c r="E26" s="3">
        <v>16</v>
      </c>
      <c r="F26" s="3">
        <v>0</v>
      </c>
      <c r="G26" s="3">
        <v>0.5</v>
      </c>
      <c r="H26" s="3">
        <v>0</v>
      </c>
      <c r="I26" s="3">
        <v>0.5</v>
      </c>
      <c r="J26" s="3">
        <v>10.5</v>
      </c>
      <c r="K26" s="3">
        <v>10</v>
      </c>
      <c r="L26" s="20">
        <v>0.5</v>
      </c>
      <c r="M26" s="3">
        <v>183</v>
      </c>
      <c r="N26" s="3">
        <v>77</v>
      </c>
      <c r="O26" s="4">
        <v>0.42076502732240439</v>
      </c>
      <c r="P26" s="5">
        <v>8.5555555555555607</v>
      </c>
      <c r="Q26" s="6">
        <v>0</v>
      </c>
      <c r="R26" s="6">
        <v>21.5116883116883</v>
      </c>
      <c r="S26" s="11">
        <v>77</v>
      </c>
      <c r="T26" s="3">
        <v>10</v>
      </c>
      <c r="U26" s="3">
        <v>0</v>
      </c>
    </row>
    <row r="27" spans="1:21" x14ac:dyDescent="0.35">
      <c r="A27" s="3" t="s">
        <v>144</v>
      </c>
      <c r="B27" s="3" t="s">
        <v>176</v>
      </c>
      <c r="C27" s="2" t="s">
        <v>70</v>
      </c>
      <c r="D27" s="2" t="s">
        <v>71</v>
      </c>
      <c r="E27" s="3">
        <v>16</v>
      </c>
      <c r="F27" s="3">
        <v>0</v>
      </c>
      <c r="G27" s="3">
        <v>5</v>
      </c>
      <c r="H27" s="3">
        <v>0</v>
      </c>
      <c r="I27" s="3">
        <v>5</v>
      </c>
      <c r="J27" s="3">
        <v>6</v>
      </c>
      <c r="K27" s="3">
        <v>5</v>
      </c>
      <c r="L27" s="20">
        <v>1</v>
      </c>
      <c r="M27" s="3">
        <v>189</v>
      </c>
      <c r="N27" s="3">
        <v>38</v>
      </c>
      <c r="O27" s="4">
        <v>0.20105820105820105</v>
      </c>
      <c r="P27" s="5">
        <v>8.1999999999999993</v>
      </c>
      <c r="Q27" s="6">
        <v>0</v>
      </c>
      <c r="R27" s="6">
        <v>10.4451219512195</v>
      </c>
      <c r="S27" s="11">
        <v>41</v>
      </c>
      <c r="T27" s="3">
        <v>9</v>
      </c>
      <c r="U27" s="3">
        <v>3</v>
      </c>
    </row>
    <row r="28" spans="1:21" x14ac:dyDescent="0.35">
      <c r="A28" s="17" t="s">
        <v>144</v>
      </c>
      <c r="B28" s="17" t="s">
        <v>177</v>
      </c>
      <c r="C28" s="16" t="s">
        <v>72</v>
      </c>
      <c r="D28" s="16" t="s">
        <v>27</v>
      </c>
      <c r="E28" s="17">
        <v>16</v>
      </c>
      <c r="F28" s="17">
        <v>0</v>
      </c>
      <c r="G28" s="17">
        <v>0</v>
      </c>
      <c r="H28" s="17">
        <v>0</v>
      </c>
      <c r="I28" s="17">
        <v>0</v>
      </c>
      <c r="J28" s="17">
        <v>11</v>
      </c>
      <c r="K28" s="17">
        <v>6</v>
      </c>
      <c r="L28" s="17">
        <v>5</v>
      </c>
      <c r="M28" s="17">
        <v>1323</v>
      </c>
      <c r="N28" s="17">
        <v>463</v>
      </c>
      <c r="O28" s="18">
        <v>0.34996220710506426</v>
      </c>
      <c r="P28" s="19">
        <v>8.6412698412698425</v>
      </c>
      <c r="Q28" s="19">
        <v>0.71256756756756712</v>
      </c>
      <c r="R28" s="19">
        <v>17.658943640823189</v>
      </c>
      <c r="S28" s="17">
        <v>470</v>
      </c>
      <c r="T28" s="17">
        <v>0</v>
      </c>
      <c r="U28" s="17"/>
    </row>
    <row r="29" spans="1:21" x14ac:dyDescent="0.35">
      <c r="A29" s="3" t="s">
        <v>144</v>
      </c>
      <c r="B29" s="3" t="s">
        <v>178</v>
      </c>
      <c r="C29" s="2" t="s">
        <v>73</v>
      </c>
      <c r="D29" s="2" t="s">
        <v>74</v>
      </c>
      <c r="E29" s="3">
        <v>16</v>
      </c>
      <c r="F29" s="3">
        <v>0</v>
      </c>
      <c r="G29" s="3">
        <v>0</v>
      </c>
      <c r="H29" s="3">
        <v>0</v>
      </c>
      <c r="I29" s="3">
        <v>0</v>
      </c>
      <c r="J29" s="3">
        <v>11</v>
      </c>
      <c r="K29" s="3">
        <v>11</v>
      </c>
      <c r="L29" s="3">
        <v>0</v>
      </c>
      <c r="M29" s="3">
        <v>177</v>
      </c>
      <c r="N29" s="3">
        <v>72</v>
      </c>
      <c r="O29" s="4">
        <v>0.40677966101694918</v>
      </c>
      <c r="P29" s="5">
        <v>6.8181818181818201</v>
      </c>
      <c r="Q29" s="6">
        <v>1.9066666666666701</v>
      </c>
      <c r="R29" s="6">
        <v>21.782666666666699</v>
      </c>
      <c r="S29" s="11">
        <v>75</v>
      </c>
      <c r="T29" s="3">
        <v>8</v>
      </c>
      <c r="U29" s="3">
        <v>3</v>
      </c>
    </row>
    <row r="30" spans="1:21" x14ac:dyDescent="0.35">
      <c r="A30" s="3" t="s">
        <v>144</v>
      </c>
      <c r="B30" s="3" t="s">
        <v>179</v>
      </c>
      <c r="C30" s="2" t="s">
        <v>75</v>
      </c>
      <c r="D30" s="2" t="s">
        <v>76</v>
      </c>
      <c r="E30" s="3">
        <v>16</v>
      </c>
      <c r="F30" s="3">
        <v>0</v>
      </c>
      <c r="G30" s="3">
        <v>0</v>
      </c>
      <c r="H30" s="3">
        <v>0</v>
      </c>
      <c r="I30" s="3">
        <v>0</v>
      </c>
      <c r="J30" s="3">
        <v>11</v>
      </c>
      <c r="K30" s="3">
        <v>11</v>
      </c>
      <c r="L30" s="3">
        <v>0</v>
      </c>
      <c r="M30" s="3">
        <v>155</v>
      </c>
      <c r="N30" s="3">
        <v>80</v>
      </c>
      <c r="O30" s="4">
        <v>0.5161290322580645</v>
      </c>
      <c r="P30" s="5">
        <v>7.7272727272727302</v>
      </c>
      <c r="Q30" s="6">
        <v>1.8352941176470601</v>
      </c>
      <c r="R30" s="6">
        <v>4.7570588235294098</v>
      </c>
      <c r="S30" s="11">
        <v>85</v>
      </c>
      <c r="T30" s="3">
        <v>10</v>
      </c>
      <c r="U30" s="3">
        <v>5</v>
      </c>
    </row>
    <row r="31" spans="1:21" x14ac:dyDescent="0.35">
      <c r="A31" s="3" t="s">
        <v>180</v>
      </c>
      <c r="B31" s="3" t="s">
        <v>181</v>
      </c>
      <c r="C31" s="2" t="s">
        <v>28</v>
      </c>
      <c r="D31" s="2" t="s">
        <v>77</v>
      </c>
      <c r="E31" s="3">
        <v>16</v>
      </c>
      <c r="F31" s="3">
        <v>0</v>
      </c>
      <c r="G31" s="3">
        <v>0</v>
      </c>
      <c r="H31" s="3">
        <v>0</v>
      </c>
      <c r="I31" s="3">
        <v>0</v>
      </c>
      <c r="J31" s="3">
        <v>11</v>
      </c>
      <c r="K31" s="3">
        <v>10</v>
      </c>
      <c r="L31" s="20">
        <v>1</v>
      </c>
      <c r="M31" s="3">
        <v>156</v>
      </c>
      <c r="N31" s="3">
        <v>71</v>
      </c>
      <c r="O31" s="4">
        <v>0.45512820512820512</v>
      </c>
      <c r="P31" s="5">
        <v>7.1</v>
      </c>
      <c r="Q31" s="6">
        <v>0</v>
      </c>
      <c r="R31" s="6">
        <v>3.8826291079812201</v>
      </c>
      <c r="S31" s="11">
        <v>71</v>
      </c>
      <c r="T31" s="3">
        <v>8</v>
      </c>
      <c r="U31" s="3">
        <v>0</v>
      </c>
    </row>
    <row r="32" spans="1:21" x14ac:dyDescent="0.35">
      <c r="A32" s="3" t="s">
        <v>144</v>
      </c>
      <c r="B32" s="3" t="s">
        <v>182</v>
      </c>
      <c r="C32" s="2" t="s">
        <v>78</v>
      </c>
      <c r="D32" s="2" t="s">
        <v>79</v>
      </c>
      <c r="E32" s="3">
        <v>16</v>
      </c>
      <c r="F32" s="3">
        <v>0</v>
      </c>
      <c r="G32" s="3">
        <v>0</v>
      </c>
      <c r="H32" s="3">
        <v>0</v>
      </c>
      <c r="I32" s="3">
        <v>0</v>
      </c>
      <c r="J32" s="3">
        <v>11</v>
      </c>
      <c r="K32" s="3">
        <v>9</v>
      </c>
      <c r="L32" s="20">
        <v>2</v>
      </c>
      <c r="M32" s="3">
        <v>179</v>
      </c>
      <c r="N32" s="3">
        <v>62</v>
      </c>
      <c r="O32" s="4">
        <v>0.34636871508379891</v>
      </c>
      <c r="P32" s="5">
        <v>7.4444444444444402</v>
      </c>
      <c r="Q32" s="6">
        <v>1.70149253731343</v>
      </c>
      <c r="R32" s="6">
        <v>27.318656716417902</v>
      </c>
      <c r="S32" s="11">
        <v>67</v>
      </c>
      <c r="T32" s="3">
        <v>9</v>
      </c>
      <c r="U32" s="3">
        <v>5</v>
      </c>
    </row>
    <row r="33" spans="1:21" x14ac:dyDescent="0.35">
      <c r="A33" s="3" t="s">
        <v>234</v>
      </c>
      <c r="B33" s="3" t="s">
        <v>235</v>
      </c>
      <c r="C33" s="1" t="s">
        <v>227</v>
      </c>
      <c r="D33" s="2" t="s">
        <v>80</v>
      </c>
      <c r="E33" s="3">
        <v>16</v>
      </c>
      <c r="F33" s="3">
        <v>0</v>
      </c>
      <c r="G33" s="3">
        <v>0</v>
      </c>
      <c r="H33" s="3">
        <v>0</v>
      </c>
      <c r="I33" s="3">
        <v>0</v>
      </c>
      <c r="J33" s="3">
        <v>11</v>
      </c>
      <c r="K33" s="3">
        <v>11</v>
      </c>
      <c r="L33" s="3">
        <v>0</v>
      </c>
      <c r="M33" s="3">
        <v>168</v>
      </c>
      <c r="N33" s="3">
        <v>85</v>
      </c>
      <c r="O33" s="4">
        <v>0.50595238095238093</v>
      </c>
      <c r="P33" s="5">
        <v>7.7272727272727302</v>
      </c>
      <c r="Q33" s="6">
        <v>0</v>
      </c>
      <c r="R33" s="6">
        <v>3.0952941176470601</v>
      </c>
      <c r="S33" s="11">
        <v>85</v>
      </c>
      <c r="T33" s="3">
        <v>8</v>
      </c>
      <c r="U33" s="3">
        <v>0</v>
      </c>
    </row>
    <row r="34" spans="1:21" x14ac:dyDescent="0.35">
      <c r="A34" s="3" t="s">
        <v>144</v>
      </c>
      <c r="B34" s="3" t="s">
        <v>183</v>
      </c>
      <c r="C34" s="2" t="s">
        <v>81</v>
      </c>
      <c r="D34" s="2" t="s">
        <v>82</v>
      </c>
      <c r="E34" s="3">
        <v>16</v>
      </c>
      <c r="F34" s="3">
        <v>0</v>
      </c>
      <c r="G34" s="3">
        <v>0</v>
      </c>
      <c r="H34" s="3">
        <v>0</v>
      </c>
      <c r="I34" s="3">
        <v>0</v>
      </c>
      <c r="J34" s="3">
        <v>11</v>
      </c>
      <c r="K34" s="3">
        <v>9</v>
      </c>
      <c r="L34" s="20">
        <v>2</v>
      </c>
      <c r="M34" s="3">
        <v>157</v>
      </c>
      <c r="N34" s="3">
        <v>70</v>
      </c>
      <c r="O34" s="4">
        <v>0.44585987261146498</v>
      </c>
      <c r="P34" s="5">
        <v>8.5555555555555607</v>
      </c>
      <c r="Q34" s="6">
        <v>0</v>
      </c>
      <c r="R34" s="6">
        <v>7.2751082251082204</v>
      </c>
      <c r="S34" s="11">
        <v>77</v>
      </c>
      <c r="T34" s="3">
        <v>9</v>
      </c>
      <c r="U34" s="3">
        <v>7</v>
      </c>
    </row>
    <row r="35" spans="1:21" x14ac:dyDescent="0.35">
      <c r="A35" s="3" t="s">
        <v>184</v>
      </c>
      <c r="B35" s="3" t="s">
        <v>185</v>
      </c>
      <c r="C35" s="2" t="s">
        <v>29</v>
      </c>
      <c r="D35" s="2" t="s">
        <v>83</v>
      </c>
      <c r="E35" s="3">
        <v>16</v>
      </c>
      <c r="F35" s="3">
        <v>0</v>
      </c>
      <c r="G35" s="3">
        <v>0</v>
      </c>
      <c r="H35" s="3">
        <v>0</v>
      </c>
      <c r="I35" s="3">
        <v>0</v>
      </c>
      <c r="J35" s="3">
        <v>11</v>
      </c>
      <c r="K35" s="3">
        <v>10</v>
      </c>
      <c r="L35" s="20">
        <v>1</v>
      </c>
      <c r="M35" s="3">
        <v>218</v>
      </c>
      <c r="N35" s="3">
        <v>79</v>
      </c>
      <c r="O35" s="4">
        <v>0.36238532110091742</v>
      </c>
      <c r="P35" s="5">
        <v>8.3000000000000007</v>
      </c>
      <c r="Q35" s="6">
        <v>0</v>
      </c>
      <c r="R35" s="6">
        <v>13.6136546184739</v>
      </c>
      <c r="S35" s="11">
        <v>83</v>
      </c>
      <c r="T35" s="3">
        <v>10</v>
      </c>
      <c r="U35" s="3">
        <v>4</v>
      </c>
    </row>
    <row r="36" spans="1:21" x14ac:dyDescent="0.35">
      <c r="A36" s="17" t="s">
        <v>144</v>
      </c>
      <c r="B36" s="17" t="s">
        <v>186</v>
      </c>
      <c r="C36" s="16" t="s">
        <v>84</v>
      </c>
      <c r="D36" s="16" t="s">
        <v>30</v>
      </c>
      <c r="E36" s="17">
        <v>16</v>
      </c>
      <c r="F36" s="17">
        <v>0</v>
      </c>
      <c r="G36" s="17">
        <v>0</v>
      </c>
      <c r="H36" s="17">
        <v>0</v>
      </c>
      <c r="I36" s="17">
        <v>0</v>
      </c>
      <c r="J36" s="17">
        <v>11</v>
      </c>
      <c r="K36" s="17">
        <v>2</v>
      </c>
      <c r="L36" s="17">
        <v>9</v>
      </c>
      <c r="M36" s="17">
        <v>1042</v>
      </c>
      <c r="N36" s="17">
        <v>434</v>
      </c>
      <c r="O36" s="18">
        <v>0.41650671785028792</v>
      </c>
      <c r="P36" s="19">
        <v>7.657575757575759</v>
      </c>
      <c r="Q36" s="19">
        <v>0.90724222027119339</v>
      </c>
      <c r="R36" s="19">
        <v>13.104962359696225</v>
      </c>
      <c r="S36" s="17">
        <v>458</v>
      </c>
      <c r="T36" s="17">
        <v>0</v>
      </c>
      <c r="U36" s="17"/>
    </row>
    <row r="37" spans="1:21" x14ac:dyDescent="0.35">
      <c r="A37" s="3" t="s">
        <v>142</v>
      </c>
      <c r="B37" s="3" t="s">
        <v>187</v>
      </c>
      <c r="C37" s="2" t="s">
        <v>129</v>
      </c>
      <c r="D37" s="2" t="s">
        <v>85</v>
      </c>
      <c r="E37" s="3">
        <v>16</v>
      </c>
      <c r="F37" s="3">
        <v>0</v>
      </c>
      <c r="G37" s="3">
        <v>0</v>
      </c>
      <c r="H37" s="3">
        <v>0.5</v>
      </c>
      <c r="I37" s="3">
        <v>0.5</v>
      </c>
      <c r="J37" s="3">
        <v>10.5</v>
      </c>
      <c r="K37" s="3">
        <v>10</v>
      </c>
      <c r="L37" s="20">
        <v>0.5</v>
      </c>
      <c r="M37" s="3">
        <v>149</v>
      </c>
      <c r="N37" s="3">
        <v>84</v>
      </c>
      <c r="O37" s="4">
        <v>0.56375838926174493</v>
      </c>
      <c r="P37" s="5">
        <v>8.5</v>
      </c>
      <c r="Q37" s="6">
        <v>1.0941176470588201</v>
      </c>
      <c r="R37" s="6">
        <v>15.0270588235294</v>
      </c>
      <c r="S37" s="11">
        <v>85</v>
      </c>
      <c r="T37" s="3">
        <v>8</v>
      </c>
      <c r="U37" s="3">
        <v>1</v>
      </c>
    </row>
    <row r="38" spans="1:21" x14ac:dyDescent="0.35">
      <c r="A38" s="3" t="s">
        <v>189</v>
      </c>
      <c r="B38" s="3" t="s">
        <v>190</v>
      </c>
      <c r="C38" s="22" t="s">
        <v>137</v>
      </c>
      <c r="D38" s="2" t="s">
        <v>86</v>
      </c>
      <c r="E38" s="3">
        <v>16</v>
      </c>
      <c r="F38" s="3">
        <v>0</v>
      </c>
      <c r="G38" s="3">
        <v>0</v>
      </c>
      <c r="H38" s="3">
        <v>0</v>
      </c>
      <c r="I38" s="3">
        <v>0</v>
      </c>
      <c r="J38" s="3">
        <v>11</v>
      </c>
      <c r="K38" s="3">
        <v>10</v>
      </c>
      <c r="L38" s="20">
        <v>1</v>
      </c>
      <c r="M38" s="3">
        <v>159</v>
      </c>
      <c r="N38" s="3">
        <v>69</v>
      </c>
      <c r="O38" s="4">
        <v>0.43396226415094341</v>
      </c>
      <c r="P38" s="5">
        <v>6.9</v>
      </c>
      <c r="Q38" s="6">
        <v>0.94202898550724601</v>
      </c>
      <c r="R38" s="6">
        <v>14.4838164251208</v>
      </c>
      <c r="S38" s="11">
        <v>69</v>
      </c>
      <c r="T38" s="3">
        <v>7</v>
      </c>
      <c r="U38" s="3">
        <v>0</v>
      </c>
    </row>
    <row r="39" spans="1:21" x14ac:dyDescent="0.35">
      <c r="A39" s="3" t="s">
        <v>144</v>
      </c>
      <c r="B39" s="3" t="s">
        <v>188</v>
      </c>
      <c r="C39" s="2" t="s">
        <v>87</v>
      </c>
      <c r="D39" s="2" t="s">
        <v>88</v>
      </c>
      <c r="E39" s="3">
        <v>16</v>
      </c>
      <c r="F39" s="3">
        <v>0</v>
      </c>
      <c r="G39" s="3">
        <v>0</v>
      </c>
      <c r="H39" s="3">
        <v>0</v>
      </c>
      <c r="I39" s="3">
        <v>0</v>
      </c>
      <c r="J39" s="3">
        <v>11</v>
      </c>
      <c r="K39" s="3">
        <v>10</v>
      </c>
      <c r="L39" s="20">
        <v>1</v>
      </c>
      <c r="M39" s="3">
        <v>131</v>
      </c>
      <c r="N39" s="3">
        <v>65</v>
      </c>
      <c r="O39" s="4">
        <v>0.49618320610687022</v>
      </c>
      <c r="P39" s="5">
        <v>6.5</v>
      </c>
      <c r="Q39" s="6">
        <v>3.0769230769230799E-2</v>
      </c>
      <c r="R39" s="6">
        <v>39.598205128205102</v>
      </c>
      <c r="S39" s="11">
        <v>65</v>
      </c>
      <c r="T39" s="3">
        <v>7</v>
      </c>
      <c r="U39" s="3">
        <v>0</v>
      </c>
    </row>
    <row r="40" spans="1:21" x14ac:dyDescent="0.35">
      <c r="A40" s="3" t="s">
        <v>239</v>
      </c>
      <c r="B40" s="3">
        <v>1757</v>
      </c>
      <c r="C40" s="1" t="s">
        <v>243</v>
      </c>
      <c r="D40" s="2" t="s">
        <v>31</v>
      </c>
      <c r="E40" s="3">
        <v>16</v>
      </c>
      <c r="F40" s="3">
        <v>0</v>
      </c>
      <c r="G40" s="3">
        <v>0</v>
      </c>
      <c r="H40" s="3">
        <v>0.5</v>
      </c>
      <c r="I40" s="3">
        <v>0.5</v>
      </c>
      <c r="J40" s="3">
        <v>10.5</v>
      </c>
      <c r="K40" s="3">
        <v>11</v>
      </c>
      <c r="L40" s="3">
        <v>0</v>
      </c>
      <c r="M40" s="3">
        <v>159</v>
      </c>
      <c r="N40" s="3">
        <v>78</v>
      </c>
      <c r="O40" s="4">
        <v>0.49056603773584906</v>
      </c>
      <c r="P40" s="5">
        <v>7.0909090909090899</v>
      </c>
      <c r="Q40" s="6">
        <v>1.70512820512821</v>
      </c>
      <c r="R40" s="6">
        <v>16.131623931623899</v>
      </c>
      <c r="S40" s="11">
        <v>78</v>
      </c>
      <c r="T40" s="3">
        <v>7</v>
      </c>
      <c r="U40" s="3">
        <v>0</v>
      </c>
    </row>
    <row r="41" spans="1:21" x14ac:dyDescent="0.35">
      <c r="A41" s="3" t="s">
        <v>144</v>
      </c>
      <c r="B41" s="3" t="s">
        <v>191</v>
      </c>
      <c r="C41" s="2" t="s">
        <v>89</v>
      </c>
      <c r="D41" s="2" t="s">
        <v>90</v>
      </c>
      <c r="E41" s="3">
        <v>16</v>
      </c>
      <c r="F41" s="3">
        <v>0</v>
      </c>
      <c r="G41" s="3">
        <v>3</v>
      </c>
      <c r="H41" s="3">
        <v>1</v>
      </c>
      <c r="I41" s="3">
        <v>4</v>
      </c>
      <c r="J41" s="3">
        <v>7</v>
      </c>
      <c r="K41" s="3">
        <v>7</v>
      </c>
      <c r="L41" s="3">
        <v>0</v>
      </c>
      <c r="M41" s="3">
        <v>140</v>
      </c>
      <c r="N41" s="3">
        <v>69</v>
      </c>
      <c r="O41" s="4">
        <v>0.49285714285714288</v>
      </c>
      <c r="P41" s="5">
        <v>10.1428571428571</v>
      </c>
      <c r="Q41" s="6">
        <v>0</v>
      </c>
      <c r="R41" s="6">
        <v>4.6279342723004699</v>
      </c>
      <c r="S41" s="11">
        <v>71</v>
      </c>
      <c r="T41" s="3">
        <v>9</v>
      </c>
      <c r="U41" s="3">
        <v>2</v>
      </c>
    </row>
    <row r="42" spans="1:21" x14ac:dyDescent="0.35">
      <c r="A42" s="3" t="s">
        <v>144</v>
      </c>
      <c r="B42" s="3" t="s">
        <v>192</v>
      </c>
      <c r="C42" s="2" t="s">
        <v>91</v>
      </c>
      <c r="D42" s="2" t="s">
        <v>92</v>
      </c>
      <c r="E42" s="3">
        <v>16</v>
      </c>
      <c r="F42" s="3">
        <v>0</v>
      </c>
      <c r="G42" s="3">
        <v>0</v>
      </c>
      <c r="H42" s="3">
        <v>0.5</v>
      </c>
      <c r="I42" s="3">
        <v>0.5</v>
      </c>
      <c r="J42" s="3">
        <v>10.5</v>
      </c>
      <c r="K42" s="3">
        <v>11</v>
      </c>
      <c r="L42" s="3">
        <v>0</v>
      </c>
      <c r="M42" s="3">
        <v>165</v>
      </c>
      <c r="N42" s="3">
        <v>89</v>
      </c>
      <c r="O42" s="4">
        <v>0.53939393939393943</v>
      </c>
      <c r="P42" s="5">
        <v>8.0909090909090899</v>
      </c>
      <c r="Q42" s="6">
        <v>0</v>
      </c>
      <c r="R42" s="6">
        <v>24.910299625468198</v>
      </c>
      <c r="S42" s="11">
        <v>89</v>
      </c>
      <c r="T42" s="3">
        <v>8</v>
      </c>
      <c r="U42" s="3">
        <v>0</v>
      </c>
    </row>
    <row r="43" spans="1:21" x14ac:dyDescent="0.35">
      <c r="A43" s="3" t="s">
        <v>193</v>
      </c>
      <c r="B43" s="3" t="s">
        <v>194</v>
      </c>
      <c r="C43" s="2" t="s">
        <v>32</v>
      </c>
      <c r="D43" s="2" t="s">
        <v>93</v>
      </c>
      <c r="E43" s="3">
        <v>16</v>
      </c>
      <c r="F43" s="3">
        <v>0</v>
      </c>
      <c r="G43" s="3">
        <v>0</v>
      </c>
      <c r="H43" s="3">
        <v>0.5</v>
      </c>
      <c r="I43" s="3">
        <v>0.5</v>
      </c>
      <c r="J43" s="3">
        <v>10.5</v>
      </c>
      <c r="K43" s="3">
        <v>11</v>
      </c>
      <c r="L43" s="3">
        <v>0</v>
      </c>
      <c r="M43" s="3">
        <v>178</v>
      </c>
      <c r="N43" s="3">
        <v>80</v>
      </c>
      <c r="O43" s="4">
        <v>0.449438202247191</v>
      </c>
      <c r="P43" s="5">
        <v>7.2727272727272698</v>
      </c>
      <c r="Q43" s="6">
        <v>0.1</v>
      </c>
      <c r="R43" s="6">
        <v>11.2983333333333</v>
      </c>
      <c r="S43" s="11">
        <v>80</v>
      </c>
      <c r="T43" s="3">
        <v>8</v>
      </c>
      <c r="U43" s="3">
        <v>0</v>
      </c>
    </row>
    <row r="44" spans="1:21" x14ac:dyDescent="0.35">
      <c r="A44" s="3" t="s">
        <v>174</v>
      </c>
      <c r="B44" s="3" t="s">
        <v>195</v>
      </c>
      <c r="C44" s="2" t="s">
        <v>33</v>
      </c>
      <c r="D44" s="2" t="s">
        <v>94</v>
      </c>
      <c r="E44" s="3">
        <v>16</v>
      </c>
      <c r="F44" s="3">
        <v>0</v>
      </c>
      <c r="G44" s="3">
        <v>0</v>
      </c>
      <c r="H44" s="3">
        <v>0.5</v>
      </c>
      <c r="I44" s="3">
        <v>0.5</v>
      </c>
      <c r="J44" s="3">
        <v>10.5</v>
      </c>
      <c r="K44" s="3">
        <v>11</v>
      </c>
      <c r="L44" s="3">
        <v>0</v>
      </c>
      <c r="M44" s="3">
        <v>192</v>
      </c>
      <c r="N44" s="3">
        <v>103</v>
      </c>
      <c r="O44" s="4">
        <v>0.53645833333333337</v>
      </c>
      <c r="P44" s="5">
        <v>9.3636363636363598</v>
      </c>
      <c r="Q44" s="6">
        <v>1.76699029126214</v>
      </c>
      <c r="R44" s="6">
        <v>9.8828478964401292</v>
      </c>
      <c r="S44" s="11">
        <v>103</v>
      </c>
      <c r="T44" s="3">
        <v>9</v>
      </c>
      <c r="U44" s="3">
        <v>0</v>
      </c>
    </row>
    <row r="45" spans="1:21" x14ac:dyDescent="0.35">
      <c r="A45" s="17" t="s">
        <v>174</v>
      </c>
      <c r="B45" s="17" t="s">
        <v>196</v>
      </c>
      <c r="C45" s="16" t="s">
        <v>34</v>
      </c>
      <c r="D45" s="16" t="s">
        <v>35</v>
      </c>
      <c r="E45" s="17">
        <v>16</v>
      </c>
      <c r="F45" s="17">
        <v>0</v>
      </c>
      <c r="G45" s="17">
        <v>0</v>
      </c>
      <c r="H45" s="17">
        <v>0</v>
      </c>
      <c r="I45" s="17">
        <v>0</v>
      </c>
      <c r="J45" s="17">
        <v>11</v>
      </c>
      <c r="K45" s="17">
        <v>6</v>
      </c>
      <c r="L45" s="17">
        <v>5</v>
      </c>
      <c r="M45" s="17">
        <v>1114</v>
      </c>
      <c r="N45" s="17">
        <v>559</v>
      </c>
      <c r="O45" s="18">
        <v>0.50179533213644523</v>
      </c>
      <c r="P45" s="19">
        <v>8.1100185528756885</v>
      </c>
      <c r="Q45" s="19">
        <v>0.56198659351391955</v>
      </c>
      <c r="R45" s="19">
        <v>17.118356500628199</v>
      </c>
      <c r="S45" s="17">
        <v>562</v>
      </c>
      <c r="T45" s="17">
        <v>0</v>
      </c>
      <c r="U45" s="17"/>
    </row>
    <row r="46" spans="1:21" x14ac:dyDescent="0.35">
      <c r="A46" s="3" t="s">
        <v>197</v>
      </c>
      <c r="B46" s="3" t="s">
        <v>198</v>
      </c>
      <c r="C46" s="2" t="s">
        <v>95</v>
      </c>
      <c r="D46" s="2" t="s">
        <v>96</v>
      </c>
      <c r="E46" s="3">
        <v>16</v>
      </c>
      <c r="F46" s="3">
        <v>0</v>
      </c>
      <c r="G46" s="3">
        <v>0</v>
      </c>
      <c r="H46" s="3">
        <v>0</v>
      </c>
      <c r="I46" s="3">
        <v>0</v>
      </c>
      <c r="J46" s="3">
        <v>11</v>
      </c>
      <c r="K46" s="3">
        <v>2</v>
      </c>
      <c r="L46" s="20">
        <v>9</v>
      </c>
      <c r="M46" s="3">
        <v>151</v>
      </c>
      <c r="N46" s="3">
        <v>19</v>
      </c>
      <c r="O46" s="4">
        <v>0.12582781456953643</v>
      </c>
      <c r="P46" s="5">
        <v>9.5</v>
      </c>
      <c r="Q46" s="6">
        <v>0</v>
      </c>
      <c r="R46" s="6">
        <v>12.9342105263158</v>
      </c>
      <c r="S46" s="11">
        <v>19</v>
      </c>
      <c r="T46" s="3">
        <v>8</v>
      </c>
      <c r="U46" s="3">
        <v>0</v>
      </c>
    </row>
    <row r="47" spans="1:21" x14ac:dyDescent="0.35">
      <c r="A47" s="3" t="s">
        <v>199</v>
      </c>
      <c r="B47" s="3" t="s">
        <v>200</v>
      </c>
      <c r="C47" s="2" t="s">
        <v>23</v>
      </c>
      <c r="D47" s="2" t="s">
        <v>97</v>
      </c>
      <c r="E47" s="3">
        <v>16</v>
      </c>
      <c r="F47" s="3">
        <v>0</v>
      </c>
      <c r="G47" s="3">
        <v>1</v>
      </c>
      <c r="H47" s="3">
        <v>0</v>
      </c>
      <c r="I47" s="3">
        <v>1</v>
      </c>
      <c r="J47" s="3">
        <v>10</v>
      </c>
      <c r="K47" s="3">
        <v>9</v>
      </c>
      <c r="L47" s="20">
        <v>1</v>
      </c>
      <c r="M47" s="3">
        <v>154</v>
      </c>
      <c r="N47" s="3">
        <v>68</v>
      </c>
      <c r="O47" s="4">
        <v>0.44155844155844154</v>
      </c>
      <c r="P47" s="5">
        <v>7.7777777777777803</v>
      </c>
      <c r="Q47" s="6">
        <v>1.77142857142857</v>
      </c>
      <c r="R47" s="6">
        <v>13.960952380952399</v>
      </c>
      <c r="S47" s="11">
        <v>70</v>
      </c>
      <c r="T47" s="3">
        <v>8</v>
      </c>
      <c r="U47" s="3">
        <v>2</v>
      </c>
    </row>
    <row r="48" spans="1:21" x14ac:dyDescent="0.35">
      <c r="A48" s="21" t="s">
        <v>221</v>
      </c>
      <c r="B48" s="3">
        <v>1187</v>
      </c>
      <c r="C48" s="2" t="s">
        <v>219</v>
      </c>
      <c r="D48" s="2" t="s">
        <v>98</v>
      </c>
      <c r="E48" s="3">
        <v>16</v>
      </c>
      <c r="F48" s="3">
        <v>0</v>
      </c>
      <c r="G48" s="3">
        <v>0</v>
      </c>
      <c r="H48" s="3">
        <v>0</v>
      </c>
      <c r="I48" s="3">
        <v>0</v>
      </c>
      <c r="J48" s="3">
        <v>11</v>
      </c>
      <c r="K48" s="3">
        <v>9</v>
      </c>
      <c r="L48" s="20">
        <v>2</v>
      </c>
      <c r="M48" s="3">
        <v>121</v>
      </c>
      <c r="N48" s="3">
        <v>44</v>
      </c>
      <c r="O48" s="4">
        <v>0.36363636363636365</v>
      </c>
      <c r="P48" s="5">
        <v>4.8888888888888902</v>
      </c>
      <c r="Q48" s="6">
        <v>0</v>
      </c>
      <c r="R48" s="6">
        <v>40.188257575757603</v>
      </c>
      <c r="S48" s="11">
        <v>44</v>
      </c>
      <c r="T48" s="3">
        <v>6</v>
      </c>
      <c r="U48" s="3">
        <v>0</v>
      </c>
    </row>
    <row r="49" spans="1:21" x14ac:dyDescent="0.35">
      <c r="A49" s="3" t="s">
        <v>201</v>
      </c>
      <c r="B49" s="3" t="s">
        <v>202</v>
      </c>
      <c r="C49" s="2" t="s">
        <v>99</v>
      </c>
      <c r="D49" s="2" t="s">
        <v>100</v>
      </c>
      <c r="E49" s="3">
        <v>16</v>
      </c>
      <c r="F49" s="3">
        <v>0</v>
      </c>
      <c r="G49" s="3">
        <v>2</v>
      </c>
      <c r="H49" s="3">
        <v>0</v>
      </c>
      <c r="I49" s="3">
        <v>2</v>
      </c>
      <c r="J49" s="3">
        <v>9</v>
      </c>
      <c r="K49" s="3">
        <v>8</v>
      </c>
      <c r="L49" s="20">
        <v>1</v>
      </c>
      <c r="M49" s="3">
        <v>152</v>
      </c>
      <c r="N49" s="3">
        <v>68</v>
      </c>
      <c r="O49" s="4">
        <v>0.44736842105263158</v>
      </c>
      <c r="P49" s="5">
        <v>8.875</v>
      </c>
      <c r="Q49" s="6">
        <v>0</v>
      </c>
      <c r="R49" s="6">
        <v>9.8882629107981206</v>
      </c>
      <c r="S49" s="11">
        <v>71</v>
      </c>
      <c r="T49" s="3">
        <v>8</v>
      </c>
      <c r="U49" s="3">
        <v>3</v>
      </c>
    </row>
    <row r="50" spans="1:21" x14ac:dyDescent="0.35">
      <c r="A50" s="3">
        <v>0</v>
      </c>
      <c r="B50" s="3">
        <v>0</v>
      </c>
      <c r="C50" s="9" t="s">
        <v>244</v>
      </c>
      <c r="D50" s="2" t="s">
        <v>101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4">
        <v>0</v>
      </c>
      <c r="P50" s="5">
        <v>0</v>
      </c>
      <c r="Q50" s="6">
        <v>0</v>
      </c>
      <c r="R50" s="6">
        <v>0</v>
      </c>
      <c r="S50" s="11">
        <v>0</v>
      </c>
      <c r="T50" s="3">
        <v>0</v>
      </c>
      <c r="U50" s="3">
        <v>0</v>
      </c>
    </row>
    <row r="51" spans="1:21" x14ac:dyDescent="0.35">
      <c r="A51" s="3" t="s">
        <v>222</v>
      </c>
      <c r="B51" s="3">
        <v>221</v>
      </c>
      <c r="C51" s="10" t="s">
        <v>220</v>
      </c>
      <c r="D51" s="2" t="s">
        <v>102</v>
      </c>
      <c r="E51" s="3">
        <v>16</v>
      </c>
      <c r="F51" s="3">
        <v>0</v>
      </c>
      <c r="G51" s="3">
        <v>1</v>
      </c>
      <c r="H51" s="3">
        <v>0</v>
      </c>
      <c r="I51" s="3">
        <v>1</v>
      </c>
      <c r="J51" s="3">
        <v>10</v>
      </c>
      <c r="K51" s="3">
        <v>8</v>
      </c>
      <c r="L51" s="20">
        <v>2</v>
      </c>
      <c r="M51" s="3">
        <v>128</v>
      </c>
      <c r="N51" s="3">
        <v>51</v>
      </c>
      <c r="O51" s="4">
        <v>0.3984375</v>
      </c>
      <c r="P51" s="5">
        <v>6.5</v>
      </c>
      <c r="Q51" s="6">
        <v>0</v>
      </c>
      <c r="R51" s="6">
        <v>3.5144230769230802</v>
      </c>
      <c r="S51" s="11">
        <v>52</v>
      </c>
      <c r="T51" s="3">
        <v>7</v>
      </c>
      <c r="U51" s="3">
        <v>1</v>
      </c>
    </row>
    <row r="52" spans="1:21" x14ac:dyDescent="0.35">
      <c r="A52" s="3" t="s">
        <v>174</v>
      </c>
      <c r="B52" s="3" t="s">
        <v>204</v>
      </c>
      <c r="C52" s="2" t="s">
        <v>20</v>
      </c>
      <c r="D52" s="2" t="s">
        <v>103</v>
      </c>
      <c r="E52" s="3">
        <v>16</v>
      </c>
      <c r="F52" s="3">
        <v>0</v>
      </c>
      <c r="G52" s="3">
        <v>0</v>
      </c>
      <c r="H52" s="3">
        <v>0</v>
      </c>
      <c r="I52" s="3">
        <v>0</v>
      </c>
      <c r="J52" s="3">
        <v>11</v>
      </c>
      <c r="K52" s="3">
        <v>10</v>
      </c>
      <c r="L52" s="20">
        <v>1</v>
      </c>
      <c r="M52" s="3">
        <v>158</v>
      </c>
      <c r="N52" s="3">
        <v>90</v>
      </c>
      <c r="O52" s="4">
        <v>0.569620253164557</v>
      </c>
      <c r="P52" s="5">
        <v>9</v>
      </c>
      <c r="Q52" s="6">
        <v>0</v>
      </c>
      <c r="R52" s="6">
        <v>12.0255555555556</v>
      </c>
      <c r="S52" s="11">
        <v>90</v>
      </c>
      <c r="T52" s="3">
        <v>9</v>
      </c>
      <c r="U52" s="3">
        <v>0</v>
      </c>
    </row>
    <row r="53" spans="1:21" x14ac:dyDescent="0.35">
      <c r="A53" s="3" t="s">
        <v>174</v>
      </c>
      <c r="B53" s="3" t="s">
        <v>205</v>
      </c>
      <c r="C53" s="2" t="s">
        <v>21</v>
      </c>
      <c r="D53" s="2" t="s">
        <v>104</v>
      </c>
      <c r="E53" s="3">
        <v>16</v>
      </c>
      <c r="F53" s="3">
        <v>0</v>
      </c>
      <c r="G53" s="3">
        <v>3</v>
      </c>
      <c r="H53" s="3">
        <v>1</v>
      </c>
      <c r="I53" s="3">
        <v>4</v>
      </c>
      <c r="J53" s="3">
        <v>7</v>
      </c>
      <c r="K53" s="3">
        <v>6</v>
      </c>
      <c r="L53" s="20">
        <v>1</v>
      </c>
      <c r="M53" s="3">
        <v>182</v>
      </c>
      <c r="N53" s="3">
        <v>49</v>
      </c>
      <c r="O53" s="4">
        <v>0.26923076923076922</v>
      </c>
      <c r="P53" s="5">
        <v>8.1666666666666696</v>
      </c>
      <c r="Q53" s="6">
        <v>0</v>
      </c>
      <c r="R53" s="6">
        <v>11.770748299319701</v>
      </c>
      <c r="S53" s="11">
        <v>49</v>
      </c>
      <c r="T53" s="3">
        <v>9</v>
      </c>
      <c r="U53" s="3">
        <v>0</v>
      </c>
    </row>
    <row r="54" spans="1:21" x14ac:dyDescent="0.35">
      <c r="A54" s="17" t="s">
        <v>206</v>
      </c>
      <c r="B54" s="17" t="s">
        <v>207</v>
      </c>
      <c r="C54" s="16" t="s">
        <v>127</v>
      </c>
      <c r="D54" s="16" t="s">
        <v>24</v>
      </c>
      <c r="E54" s="17">
        <v>16</v>
      </c>
      <c r="F54" s="17">
        <v>0</v>
      </c>
      <c r="G54" s="17">
        <v>0</v>
      </c>
      <c r="H54" s="17">
        <v>0</v>
      </c>
      <c r="I54" s="17">
        <v>0</v>
      </c>
      <c r="J54" s="17">
        <v>11</v>
      </c>
      <c r="K54" s="17">
        <v>7</v>
      </c>
      <c r="L54" s="17">
        <v>4</v>
      </c>
      <c r="M54" s="17">
        <v>1046</v>
      </c>
      <c r="N54" s="17">
        <v>389</v>
      </c>
      <c r="O54" s="18">
        <v>0.37189292543021035</v>
      </c>
      <c r="P54" s="19">
        <v>7.8154761904761916</v>
      </c>
      <c r="Q54" s="19">
        <v>0.25306122448979573</v>
      </c>
      <c r="R54" s="19">
        <v>14.897487189374615</v>
      </c>
      <c r="S54" s="17">
        <v>395</v>
      </c>
      <c r="T54" s="17">
        <v>0</v>
      </c>
      <c r="U54" s="17"/>
    </row>
    <row r="55" spans="1:21" x14ac:dyDescent="0.35">
      <c r="A55" s="3" t="s">
        <v>144</v>
      </c>
      <c r="B55" s="3" t="s">
        <v>208</v>
      </c>
      <c r="C55" s="2" t="s">
        <v>105</v>
      </c>
      <c r="D55" s="2" t="s">
        <v>106</v>
      </c>
      <c r="E55" s="3">
        <v>16</v>
      </c>
      <c r="F55" s="3">
        <v>0</v>
      </c>
      <c r="G55" s="3">
        <v>0</v>
      </c>
      <c r="H55" s="3">
        <v>0.5</v>
      </c>
      <c r="I55" s="3">
        <v>0.5</v>
      </c>
      <c r="J55" s="3">
        <v>10.5</v>
      </c>
      <c r="K55" s="3">
        <v>11</v>
      </c>
      <c r="L55" s="3">
        <v>0</v>
      </c>
      <c r="M55" s="3">
        <v>186</v>
      </c>
      <c r="N55" s="3">
        <v>96</v>
      </c>
      <c r="O55" s="4">
        <v>0.5161290322580645</v>
      </c>
      <c r="P55" s="5">
        <v>8.7272727272727302</v>
      </c>
      <c r="Q55" s="6">
        <v>0</v>
      </c>
      <c r="R55" s="6">
        <v>8.9755208333333307</v>
      </c>
      <c r="S55" s="11">
        <v>96</v>
      </c>
      <c r="T55" s="3">
        <v>9</v>
      </c>
      <c r="U55" s="3">
        <v>0</v>
      </c>
    </row>
    <row r="56" spans="1:21" x14ac:dyDescent="0.35">
      <c r="A56" s="3" t="s">
        <v>236</v>
      </c>
      <c r="B56" s="3" t="s">
        <v>237</v>
      </c>
      <c r="C56" s="1" t="s">
        <v>238</v>
      </c>
      <c r="D56" s="2" t="s">
        <v>107</v>
      </c>
      <c r="E56" s="3">
        <v>16</v>
      </c>
      <c r="F56" s="3">
        <v>0</v>
      </c>
      <c r="G56" s="3">
        <v>0</v>
      </c>
      <c r="H56" s="3">
        <v>0.5</v>
      </c>
      <c r="I56" s="3">
        <v>0.5</v>
      </c>
      <c r="J56" s="3">
        <v>10.5</v>
      </c>
      <c r="K56" s="3">
        <v>12</v>
      </c>
      <c r="L56" s="3">
        <v>0</v>
      </c>
      <c r="M56" s="3">
        <v>181</v>
      </c>
      <c r="N56" s="3">
        <v>97</v>
      </c>
      <c r="O56" s="4">
        <v>0.53591160220994472</v>
      </c>
      <c r="P56" s="5">
        <v>8.0833333333333304</v>
      </c>
      <c r="Q56" s="6">
        <v>1.3092783505154599</v>
      </c>
      <c r="R56" s="6">
        <v>8.0554982817869405</v>
      </c>
      <c r="S56" s="11">
        <v>97</v>
      </c>
      <c r="T56" s="3">
        <v>9</v>
      </c>
      <c r="U56" s="3">
        <v>0</v>
      </c>
    </row>
    <row r="57" spans="1:21" x14ac:dyDescent="0.35">
      <c r="A57" s="3" t="s">
        <v>142</v>
      </c>
      <c r="B57" s="3" t="s">
        <v>209</v>
      </c>
      <c r="C57" s="2" t="s">
        <v>128</v>
      </c>
      <c r="D57" s="2" t="s">
        <v>108</v>
      </c>
      <c r="E57" s="3">
        <v>16</v>
      </c>
      <c r="F57" s="3">
        <v>0</v>
      </c>
      <c r="G57" s="3">
        <v>0</v>
      </c>
      <c r="H57" s="3">
        <v>2</v>
      </c>
      <c r="I57" s="3">
        <v>2</v>
      </c>
      <c r="J57" s="3">
        <v>9</v>
      </c>
      <c r="K57" s="3">
        <v>9</v>
      </c>
      <c r="L57" s="3">
        <v>0</v>
      </c>
      <c r="M57" s="3">
        <v>133</v>
      </c>
      <c r="N57" s="3">
        <v>76</v>
      </c>
      <c r="O57" s="4">
        <v>0.5714285714285714</v>
      </c>
      <c r="P57" s="5">
        <v>8.4444444444444393</v>
      </c>
      <c r="Q57" s="6">
        <v>0.13157894736842099</v>
      </c>
      <c r="R57" s="6">
        <v>15.042543859649101</v>
      </c>
      <c r="S57" s="11">
        <v>76</v>
      </c>
      <c r="T57" s="3">
        <v>9</v>
      </c>
      <c r="U57" s="3">
        <v>0</v>
      </c>
    </row>
    <row r="58" spans="1:21" x14ac:dyDescent="0.35">
      <c r="A58" s="3" t="s">
        <v>210</v>
      </c>
      <c r="B58" s="3" t="s">
        <v>211</v>
      </c>
      <c r="C58" s="2" t="s">
        <v>36</v>
      </c>
      <c r="D58" s="2" t="s">
        <v>37</v>
      </c>
      <c r="E58" s="3">
        <v>16</v>
      </c>
      <c r="F58" s="3">
        <v>0</v>
      </c>
      <c r="G58" s="3">
        <v>1</v>
      </c>
      <c r="H58" s="3">
        <v>2</v>
      </c>
      <c r="I58" s="3">
        <v>3</v>
      </c>
      <c r="J58" s="3">
        <v>8</v>
      </c>
      <c r="K58" s="3">
        <v>8</v>
      </c>
      <c r="L58" s="3">
        <v>0</v>
      </c>
      <c r="M58" s="3">
        <v>162</v>
      </c>
      <c r="N58" s="3">
        <v>73</v>
      </c>
      <c r="O58" s="4">
        <v>0.45061728395061729</v>
      </c>
      <c r="P58" s="5">
        <v>9.125</v>
      </c>
      <c r="Q58" s="6">
        <v>1.7397260273972599</v>
      </c>
      <c r="R58" s="6">
        <v>15.600228310502301</v>
      </c>
      <c r="S58" s="11">
        <v>73</v>
      </c>
      <c r="T58" s="3">
        <v>9</v>
      </c>
      <c r="U58" s="3">
        <v>0</v>
      </c>
    </row>
    <row r="59" spans="1:21" x14ac:dyDescent="0.35">
      <c r="A59" s="3" t="s">
        <v>239</v>
      </c>
      <c r="B59" s="3" t="s">
        <v>240</v>
      </c>
      <c r="C59" s="1" t="s">
        <v>241</v>
      </c>
      <c r="D59" s="2" t="s">
        <v>109</v>
      </c>
      <c r="E59" s="3">
        <v>16</v>
      </c>
      <c r="F59" s="3">
        <v>0</v>
      </c>
      <c r="G59" s="3">
        <v>0</v>
      </c>
      <c r="H59" s="3">
        <v>1</v>
      </c>
      <c r="I59" s="3">
        <v>1</v>
      </c>
      <c r="J59" s="3">
        <v>10</v>
      </c>
      <c r="K59" s="3">
        <v>11</v>
      </c>
      <c r="L59" s="3">
        <v>0</v>
      </c>
      <c r="M59" s="3">
        <v>189</v>
      </c>
      <c r="N59" s="3">
        <v>91</v>
      </c>
      <c r="O59" s="4">
        <v>0.48148148148148145</v>
      </c>
      <c r="P59" s="5">
        <v>8.5454545454545396</v>
      </c>
      <c r="Q59" s="6">
        <v>0</v>
      </c>
      <c r="R59" s="6">
        <v>17.035283687943299</v>
      </c>
      <c r="S59" s="11">
        <v>94</v>
      </c>
      <c r="T59" s="3">
        <v>9</v>
      </c>
      <c r="U59" s="3">
        <v>3</v>
      </c>
    </row>
    <row r="60" spans="1:21" x14ac:dyDescent="0.35">
      <c r="A60" s="3" t="s">
        <v>206</v>
      </c>
      <c r="B60" s="3" t="s">
        <v>212</v>
      </c>
      <c r="C60" s="2" t="s">
        <v>40</v>
      </c>
      <c r="D60" s="2" t="s">
        <v>110</v>
      </c>
      <c r="E60" s="3">
        <v>16</v>
      </c>
      <c r="F60" s="3">
        <v>0</v>
      </c>
      <c r="G60" s="3">
        <v>3</v>
      </c>
      <c r="H60" s="3">
        <v>2.5</v>
      </c>
      <c r="I60" s="3">
        <v>5.5</v>
      </c>
      <c r="J60" s="3">
        <v>5.5</v>
      </c>
      <c r="K60" s="3">
        <v>7</v>
      </c>
      <c r="L60" s="3">
        <v>0</v>
      </c>
      <c r="M60" s="3">
        <v>189</v>
      </c>
      <c r="N60" s="3">
        <v>63</v>
      </c>
      <c r="O60" s="4">
        <v>0.33333333333333331</v>
      </c>
      <c r="P60" s="5">
        <v>9</v>
      </c>
      <c r="Q60" s="6">
        <v>0</v>
      </c>
      <c r="R60" s="6">
        <v>37.885978835978797</v>
      </c>
      <c r="S60" s="11">
        <v>63</v>
      </c>
      <c r="T60" s="3">
        <v>9</v>
      </c>
      <c r="U60" s="3">
        <v>0</v>
      </c>
    </row>
    <row r="61" spans="1:21" x14ac:dyDescent="0.35">
      <c r="A61" s="3" t="s">
        <v>144</v>
      </c>
      <c r="B61" s="3" t="s">
        <v>213</v>
      </c>
      <c r="C61" s="2" t="s">
        <v>111</v>
      </c>
      <c r="D61" s="2" t="s">
        <v>112</v>
      </c>
      <c r="E61" s="3">
        <v>16</v>
      </c>
      <c r="F61" s="3">
        <v>0</v>
      </c>
      <c r="G61" s="3">
        <v>1</v>
      </c>
      <c r="H61" s="3">
        <v>1</v>
      </c>
      <c r="I61" s="3">
        <v>2</v>
      </c>
      <c r="J61" s="3">
        <v>9</v>
      </c>
      <c r="K61" s="3">
        <v>10</v>
      </c>
      <c r="L61" s="3">
        <v>0</v>
      </c>
      <c r="M61" s="3">
        <v>176</v>
      </c>
      <c r="N61" s="3">
        <v>84</v>
      </c>
      <c r="O61" s="4">
        <v>0.47727272727272729</v>
      </c>
      <c r="P61" s="5">
        <v>8.5</v>
      </c>
      <c r="Q61" s="6">
        <v>0</v>
      </c>
      <c r="R61" s="6">
        <v>35.181764705882401</v>
      </c>
      <c r="S61" s="11">
        <v>85</v>
      </c>
      <c r="T61" s="3">
        <v>9</v>
      </c>
      <c r="U61" s="3">
        <v>1</v>
      </c>
    </row>
    <row r="62" spans="1:21" x14ac:dyDescent="0.35">
      <c r="A62" s="3" t="s">
        <v>203</v>
      </c>
      <c r="B62" s="3" t="s">
        <v>214</v>
      </c>
      <c r="C62" s="2" t="s">
        <v>38</v>
      </c>
      <c r="D62" s="2" t="s">
        <v>39</v>
      </c>
      <c r="E62" s="3">
        <v>16</v>
      </c>
      <c r="F62" s="3">
        <v>0</v>
      </c>
      <c r="G62" s="3">
        <v>1</v>
      </c>
      <c r="H62" s="3">
        <v>2.5</v>
      </c>
      <c r="I62" s="3">
        <v>3.5</v>
      </c>
      <c r="J62" s="3">
        <v>7.5</v>
      </c>
      <c r="K62" s="3">
        <v>9</v>
      </c>
      <c r="L62" s="3">
        <v>0</v>
      </c>
      <c r="M62" s="3">
        <v>175</v>
      </c>
      <c r="N62" s="3">
        <v>82</v>
      </c>
      <c r="O62" s="4">
        <v>0.46857142857142858</v>
      </c>
      <c r="P62" s="5">
        <v>9.1111111111111107</v>
      </c>
      <c r="Q62" s="6">
        <v>0.40243902439024398</v>
      </c>
      <c r="R62" s="6">
        <v>11.113821138211399</v>
      </c>
      <c r="S62" s="11">
        <v>82</v>
      </c>
      <c r="T62" s="3">
        <v>9</v>
      </c>
      <c r="U62" s="3">
        <v>0</v>
      </c>
    </row>
    <row r="63" spans="1:21" x14ac:dyDescent="0.35">
      <c r="A63" s="3" t="s">
        <v>144</v>
      </c>
      <c r="B63" s="3" t="s">
        <v>215</v>
      </c>
      <c r="C63" s="2" t="s">
        <v>113</v>
      </c>
      <c r="D63" s="2" t="s">
        <v>114</v>
      </c>
      <c r="E63" s="3">
        <v>16</v>
      </c>
      <c r="F63" s="3">
        <v>0</v>
      </c>
      <c r="G63" s="3">
        <v>0</v>
      </c>
      <c r="H63" s="3">
        <v>1</v>
      </c>
      <c r="I63" s="3">
        <v>1</v>
      </c>
      <c r="J63" s="3">
        <v>10</v>
      </c>
      <c r="K63" s="3">
        <v>11</v>
      </c>
      <c r="L63" s="3">
        <v>0</v>
      </c>
      <c r="M63" s="3">
        <v>195</v>
      </c>
      <c r="N63" s="3">
        <v>92</v>
      </c>
      <c r="O63" s="4">
        <v>0.47179487179487178</v>
      </c>
      <c r="P63" s="5">
        <v>8.3636363636363598</v>
      </c>
      <c r="Q63" s="6">
        <v>1.7934782608695701</v>
      </c>
      <c r="R63" s="6">
        <v>26.9003623188406</v>
      </c>
      <c r="S63" s="11">
        <v>92</v>
      </c>
      <c r="T63" s="3">
        <v>9</v>
      </c>
      <c r="U63" s="3">
        <v>0</v>
      </c>
    </row>
    <row r="64" spans="1:21" x14ac:dyDescent="0.35">
      <c r="A64" s="17" t="s">
        <v>144</v>
      </c>
      <c r="B64" s="17" t="s">
        <v>216</v>
      </c>
      <c r="C64" s="16" t="s">
        <v>115</v>
      </c>
      <c r="D64" s="16" t="s">
        <v>41</v>
      </c>
      <c r="E64" s="17">
        <v>16</v>
      </c>
      <c r="F64" s="17">
        <v>0</v>
      </c>
      <c r="G64" s="17">
        <v>0</v>
      </c>
      <c r="H64" s="17">
        <v>0</v>
      </c>
      <c r="I64" s="17">
        <v>0</v>
      </c>
      <c r="J64" s="17">
        <v>11</v>
      </c>
      <c r="K64" s="17">
        <v>5</v>
      </c>
      <c r="L64" s="17">
        <v>6</v>
      </c>
      <c r="M64" s="17">
        <v>1216</v>
      </c>
      <c r="N64" s="17">
        <v>566</v>
      </c>
      <c r="O64" s="18">
        <v>0.46546052631578949</v>
      </c>
      <c r="P64" s="19">
        <v>8.7530663780663769</v>
      </c>
      <c r="Q64" s="19">
        <v>0.58103175143221353</v>
      </c>
      <c r="R64" s="19">
        <v>21.528602857485417</v>
      </c>
      <c r="S64" s="17">
        <v>567</v>
      </c>
      <c r="T64" s="17">
        <v>0</v>
      </c>
      <c r="U64" s="17"/>
    </row>
    <row r="65" spans="1:21" x14ac:dyDescent="0.35">
      <c r="A65" s="13" t="s">
        <v>217</v>
      </c>
      <c r="B65" s="13" t="s">
        <v>218</v>
      </c>
      <c r="C65" s="15" t="s">
        <v>132</v>
      </c>
      <c r="D65" s="15" t="s">
        <v>133</v>
      </c>
      <c r="E65" s="13">
        <v>16</v>
      </c>
      <c r="F65" s="13">
        <v>0</v>
      </c>
      <c r="G65" s="13">
        <v>0</v>
      </c>
      <c r="H65" s="13">
        <v>0</v>
      </c>
      <c r="I65" s="13">
        <v>0</v>
      </c>
      <c r="J65" s="13">
        <v>11</v>
      </c>
      <c r="K65" s="13">
        <v>2</v>
      </c>
      <c r="L65" s="13">
        <v>9</v>
      </c>
      <c r="M65" s="13">
        <v>7665</v>
      </c>
      <c r="N65" s="13">
        <v>3177</v>
      </c>
      <c r="O65" s="25">
        <v>0.41448140900195696</v>
      </c>
      <c r="P65" s="14">
        <v>8.1062848602644504</v>
      </c>
      <c r="Q65" s="14">
        <v>0.56166566648541993</v>
      </c>
      <c r="R65" s="14">
        <v>15.306079514588987</v>
      </c>
      <c r="S65" s="13">
        <v>3240</v>
      </c>
      <c r="T65" s="13">
        <v>0</v>
      </c>
      <c r="U65" s="13"/>
    </row>
  </sheetData>
  <mergeCells count="21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S1:S2"/>
    <mergeCell ref="T1:T2"/>
    <mergeCell ref="U1:U2"/>
    <mergeCell ref="O1:O2"/>
    <mergeCell ref="M1:M2"/>
    <mergeCell ref="N1:N2"/>
    <mergeCell ref="P1:P2"/>
    <mergeCell ref="Q1:Q2"/>
    <mergeCell ref="R1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BEF9-F2A5-4536-B7CF-9F8FC9345C26}">
  <dimension ref="A1:V67"/>
  <sheetViews>
    <sheetView tabSelected="1" zoomScale="55" zoomScaleNormal="55" workbookViewId="0">
      <pane xSplit="4" ySplit="2" topLeftCell="F3" activePane="bottomRight" state="frozen"/>
      <selection pane="topRight" activeCell="D1" sqref="D1"/>
      <selection pane="bottomLeft" activeCell="A3" sqref="A3"/>
      <selection pane="bottomRight" activeCell="Q57" sqref="Q57"/>
    </sheetView>
  </sheetViews>
  <sheetFormatPr defaultRowHeight="14.5" x14ac:dyDescent="0.35"/>
  <cols>
    <col min="1" max="1" width="8.7265625" style="49"/>
    <col min="2" max="2" width="22.6328125" style="34" customWidth="1"/>
    <col min="4" max="4" width="34.1796875" customWidth="1"/>
    <col min="5" max="5" width="40.81640625" style="29" customWidth="1"/>
    <col min="6" max="6" width="8.7265625" style="7"/>
    <col min="7" max="7" width="8.453125" style="7" customWidth="1"/>
    <col min="8" max="8" width="8" style="7" customWidth="1"/>
    <col min="9" max="9" width="7.7265625" style="7" customWidth="1"/>
    <col min="10" max="10" width="14.54296875" style="7" customWidth="1"/>
    <col min="11" max="11" width="11.54296875" style="7" customWidth="1"/>
    <col min="12" max="12" width="11" style="7" customWidth="1"/>
    <col min="13" max="13" width="10.1796875" style="7" customWidth="1"/>
    <col min="14" max="14" width="8.7265625" style="7"/>
    <col min="15" max="15" width="11.36328125" style="7" customWidth="1"/>
    <col min="16" max="16" width="14.54296875" style="26" customWidth="1"/>
    <col min="17" max="17" width="17.54296875" style="7" customWidth="1"/>
    <col min="18" max="18" width="8.7265625" style="7"/>
    <col min="19" max="19" width="13.1796875" style="7" customWidth="1"/>
    <col min="20" max="20" width="10.26953125" style="12" customWidth="1"/>
    <col min="21" max="22" width="11.7265625" customWidth="1"/>
  </cols>
  <sheetData>
    <row r="1" spans="1:22" ht="14.5" customHeight="1" x14ac:dyDescent="0.35">
      <c r="A1" s="66" t="s">
        <v>361</v>
      </c>
      <c r="B1" s="66" t="s">
        <v>138</v>
      </c>
      <c r="C1" s="67" t="s">
        <v>139</v>
      </c>
      <c r="D1" s="68" t="s">
        <v>0</v>
      </c>
      <c r="E1" s="69" t="s">
        <v>1</v>
      </c>
      <c r="F1" s="61" t="s">
        <v>2</v>
      </c>
      <c r="G1" s="61" t="s">
        <v>3</v>
      </c>
      <c r="H1" s="61" t="s">
        <v>4</v>
      </c>
      <c r="I1" s="61" t="s">
        <v>5</v>
      </c>
      <c r="J1" s="61" t="s">
        <v>6</v>
      </c>
      <c r="K1" s="61" t="s">
        <v>7</v>
      </c>
      <c r="L1" s="61" t="s">
        <v>225</v>
      </c>
      <c r="M1" s="61" t="s">
        <v>9</v>
      </c>
      <c r="N1" s="61" t="s">
        <v>10</v>
      </c>
      <c r="O1" s="61" t="s">
        <v>122</v>
      </c>
      <c r="P1" s="58" t="s">
        <v>12</v>
      </c>
      <c r="Q1" s="61" t="s">
        <v>13</v>
      </c>
      <c r="R1" s="61" t="s">
        <v>14</v>
      </c>
      <c r="S1" s="61" t="s">
        <v>15</v>
      </c>
      <c r="T1" s="57" t="s">
        <v>11</v>
      </c>
      <c r="U1" s="57" t="s">
        <v>134</v>
      </c>
      <c r="V1" s="57" t="s">
        <v>135</v>
      </c>
    </row>
    <row r="2" spans="1:22" ht="31.5" customHeight="1" x14ac:dyDescent="0.35">
      <c r="A2" s="66"/>
      <c r="B2" s="66"/>
      <c r="C2" s="67"/>
      <c r="D2" s="68"/>
      <c r="E2" s="69"/>
      <c r="F2" s="61"/>
      <c r="G2" s="61"/>
      <c r="H2" s="61"/>
      <c r="I2" s="61"/>
      <c r="J2" s="61"/>
      <c r="K2" s="61"/>
      <c r="L2" s="61"/>
      <c r="M2" s="61"/>
      <c r="N2" s="61"/>
      <c r="O2" s="61"/>
      <c r="P2" s="58"/>
      <c r="Q2" s="61"/>
      <c r="R2" s="61"/>
      <c r="S2" s="61"/>
      <c r="T2" s="57"/>
      <c r="U2" s="57"/>
      <c r="V2" s="57"/>
    </row>
    <row r="3" spans="1:22" x14ac:dyDescent="0.35">
      <c r="A3" s="49" t="s">
        <v>362</v>
      </c>
      <c r="B3" s="32" t="s">
        <v>229</v>
      </c>
      <c r="C3" s="3">
        <v>1707</v>
      </c>
      <c r="D3" s="2" t="s">
        <v>223</v>
      </c>
      <c r="E3" s="36" t="s">
        <v>258</v>
      </c>
      <c r="F3" s="3">
        <v>28</v>
      </c>
      <c r="G3" s="3">
        <v>0</v>
      </c>
      <c r="H3" s="3">
        <v>1</v>
      </c>
      <c r="I3" s="3">
        <v>2</v>
      </c>
      <c r="J3" s="3">
        <v>3</v>
      </c>
      <c r="K3" s="3">
        <v>17</v>
      </c>
      <c r="L3" s="3">
        <v>18</v>
      </c>
      <c r="M3" s="3">
        <v>0</v>
      </c>
      <c r="N3" s="3">
        <v>173</v>
      </c>
      <c r="O3" s="3">
        <v>169</v>
      </c>
      <c r="P3" s="4">
        <v>0.97687861271676302</v>
      </c>
      <c r="Q3" s="5">
        <v>9.9411764705882408</v>
      </c>
      <c r="R3" s="6">
        <v>0</v>
      </c>
      <c r="S3" s="6">
        <v>3.4624260355029599</v>
      </c>
      <c r="T3" s="11">
        <v>169</v>
      </c>
      <c r="U3" s="3"/>
      <c r="V3" s="11">
        <v>0</v>
      </c>
    </row>
    <row r="4" spans="1:22" x14ac:dyDescent="0.35">
      <c r="A4" s="49" t="s">
        <v>362</v>
      </c>
      <c r="B4" s="32" t="s">
        <v>140</v>
      </c>
      <c r="C4" s="3" t="s">
        <v>141</v>
      </c>
      <c r="D4" s="2" t="s">
        <v>121</v>
      </c>
      <c r="E4" s="36" t="s">
        <v>259</v>
      </c>
      <c r="F4" s="3">
        <v>28</v>
      </c>
      <c r="G4" s="3">
        <v>0</v>
      </c>
      <c r="H4" s="3">
        <v>3</v>
      </c>
      <c r="I4" s="3">
        <v>1.5</v>
      </c>
      <c r="J4" s="3">
        <v>4.5</v>
      </c>
      <c r="K4" s="3">
        <v>15.5</v>
      </c>
      <c r="L4" s="3">
        <v>16</v>
      </c>
      <c r="M4" s="3">
        <v>0</v>
      </c>
      <c r="N4" s="3">
        <v>176</v>
      </c>
      <c r="O4" s="3">
        <v>155</v>
      </c>
      <c r="P4" s="4">
        <v>0.88068181818181801</v>
      </c>
      <c r="Q4" s="5">
        <v>10.3870967741935</v>
      </c>
      <c r="R4" s="6">
        <v>1.2422360248447201E-2</v>
      </c>
      <c r="S4" s="6">
        <v>18.500724637681198</v>
      </c>
      <c r="T4" s="11">
        <v>161</v>
      </c>
      <c r="U4" s="3"/>
      <c r="V4" s="70">
        <v>6</v>
      </c>
    </row>
    <row r="5" spans="1:22" x14ac:dyDescent="0.35">
      <c r="A5" s="49" t="s">
        <v>362</v>
      </c>
      <c r="B5" s="32" t="s">
        <v>142</v>
      </c>
      <c r="C5" s="3" t="s">
        <v>143</v>
      </c>
      <c r="D5" s="2" t="s">
        <v>130</v>
      </c>
      <c r="E5" s="36" t="s">
        <v>260</v>
      </c>
      <c r="F5" s="3">
        <v>28</v>
      </c>
      <c r="G5" s="3">
        <v>0</v>
      </c>
      <c r="H5" s="3">
        <v>1</v>
      </c>
      <c r="I5" s="3">
        <v>1.5</v>
      </c>
      <c r="J5" s="3">
        <v>2.5</v>
      </c>
      <c r="K5" s="3">
        <v>17.5</v>
      </c>
      <c r="L5" s="3">
        <v>18</v>
      </c>
      <c r="M5" s="3">
        <v>0</v>
      </c>
      <c r="N5" s="3">
        <v>161</v>
      </c>
      <c r="O5" s="3">
        <v>158</v>
      </c>
      <c r="P5" s="4">
        <v>0.98136645962732905</v>
      </c>
      <c r="Q5" s="5">
        <v>9.0285714285714302</v>
      </c>
      <c r="R5" s="6">
        <v>1.90506329113924</v>
      </c>
      <c r="S5" s="6">
        <v>3.89040084388186</v>
      </c>
      <c r="T5" s="11">
        <v>158</v>
      </c>
      <c r="U5" s="3"/>
      <c r="V5" s="11">
        <v>0</v>
      </c>
    </row>
    <row r="6" spans="1:22" x14ac:dyDescent="0.35">
      <c r="A6" s="49" t="s">
        <v>362</v>
      </c>
      <c r="B6" s="32">
        <v>46025</v>
      </c>
      <c r="C6" s="3">
        <v>2008</v>
      </c>
      <c r="D6" s="1" t="s">
        <v>262</v>
      </c>
      <c r="E6" s="36" t="s">
        <v>261</v>
      </c>
      <c r="F6" s="3">
        <v>28</v>
      </c>
      <c r="G6" s="3">
        <v>0</v>
      </c>
      <c r="H6" s="3">
        <v>3</v>
      </c>
      <c r="I6" s="3">
        <v>1</v>
      </c>
      <c r="J6" s="3">
        <v>4</v>
      </c>
      <c r="K6" s="3">
        <v>16</v>
      </c>
      <c r="L6" s="3">
        <v>16</v>
      </c>
      <c r="M6" s="3">
        <v>0</v>
      </c>
      <c r="N6" s="3">
        <v>197</v>
      </c>
      <c r="O6" s="3">
        <v>123</v>
      </c>
      <c r="P6" s="4">
        <v>0.62436548223350297</v>
      </c>
      <c r="Q6" s="5">
        <v>8.375</v>
      </c>
      <c r="R6" s="6">
        <v>0</v>
      </c>
      <c r="S6" s="6">
        <v>3.6572139303482598</v>
      </c>
      <c r="T6" s="11">
        <v>134</v>
      </c>
      <c r="U6" s="3"/>
      <c r="V6" s="70">
        <v>11</v>
      </c>
    </row>
    <row r="7" spans="1:22" x14ac:dyDescent="0.35">
      <c r="A7" s="49" t="s">
        <v>362</v>
      </c>
      <c r="B7" s="32" t="s">
        <v>146</v>
      </c>
      <c r="C7" s="3" t="s">
        <v>147</v>
      </c>
      <c r="D7" s="2" t="s">
        <v>124</v>
      </c>
      <c r="E7" s="36" t="s">
        <v>263</v>
      </c>
      <c r="F7" s="3">
        <v>28</v>
      </c>
      <c r="G7" s="3">
        <v>0</v>
      </c>
      <c r="H7" s="3">
        <v>2</v>
      </c>
      <c r="I7" s="3">
        <v>2</v>
      </c>
      <c r="J7" s="3">
        <v>4</v>
      </c>
      <c r="K7" s="3">
        <v>16</v>
      </c>
      <c r="L7" s="3">
        <v>17</v>
      </c>
      <c r="M7" s="3">
        <v>0</v>
      </c>
      <c r="N7" s="3">
        <v>191</v>
      </c>
      <c r="O7" s="3">
        <v>154</v>
      </c>
      <c r="P7" s="4">
        <v>0.80628272251308897</v>
      </c>
      <c r="Q7" s="5">
        <v>9.625</v>
      </c>
      <c r="R7" s="6">
        <v>0</v>
      </c>
      <c r="S7" s="6">
        <v>7.35606060606061</v>
      </c>
      <c r="T7" s="11">
        <v>154</v>
      </c>
      <c r="U7" s="3"/>
      <c r="V7" s="11">
        <v>0</v>
      </c>
    </row>
    <row r="8" spans="1:22" x14ac:dyDescent="0.35">
      <c r="A8" s="49" t="s">
        <v>362</v>
      </c>
      <c r="B8" s="32"/>
      <c r="C8" s="3"/>
      <c r="D8" s="37" t="s">
        <v>265</v>
      </c>
      <c r="E8" s="36" t="s">
        <v>264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4">
        <v>0</v>
      </c>
      <c r="Q8" s="5">
        <v>0</v>
      </c>
      <c r="R8" s="6">
        <v>0</v>
      </c>
      <c r="S8" s="6">
        <v>0</v>
      </c>
      <c r="T8" s="11">
        <v>0</v>
      </c>
      <c r="U8" s="3"/>
      <c r="V8" s="11">
        <v>0</v>
      </c>
    </row>
    <row r="9" spans="1:22" x14ac:dyDescent="0.35">
      <c r="A9" s="49" t="s">
        <v>362</v>
      </c>
      <c r="B9" s="32" t="s">
        <v>144</v>
      </c>
      <c r="C9" s="3" t="s">
        <v>150</v>
      </c>
      <c r="D9" s="2" t="s">
        <v>48</v>
      </c>
      <c r="E9" s="36" t="s">
        <v>266</v>
      </c>
      <c r="F9" s="3">
        <v>28</v>
      </c>
      <c r="G9" s="3">
        <v>0</v>
      </c>
      <c r="H9" s="3">
        <v>2</v>
      </c>
      <c r="I9" s="3">
        <v>1</v>
      </c>
      <c r="J9" s="3">
        <v>3</v>
      </c>
      <c r="K9" s="3">
        <v>17</v>
      </c>
      <c r="L9" s="3">
        <v>17</v>
      </c>
      <c r="M9" s="3">
        <v>0</v>
      </c>
      <c r="N9" s="3">
        <v>177</v>
      </c>
      <c r="O9" s="3">
        <v>151</v>
      </c>
      <c r="P9" s="4">
        <v>0.85310734463276805</v>
      </c>
      <c r="Q9" s="5">
        <v>9.0588235294117592</v>
      </c>
      <c r="R9" s="6">
        <v>0</v>
      </c>
      <c r="S9" s="6">
        <v>13.1997835497836</v>
      </c>
      <c r="T9" s="11">
        <v>154</v>
      </c>
      <c r="U9" s="3"/>
      <c r="V9" s="70">
        <v>3</v>
      </c>
    </row>
    <row r="10" spans="1:22" x14ac:dyDescent="0.35">
      <c r="A10" s="49" t="s">
        <v>362</v>
      </c>
      <c r="B10" s="32">
        <v>46032</v>
      </c>
      <c r="C10" s="3">
        <v>2007</v>
      </c>
      <c r="D10" s="48" t="s">
        <v>268</v>
      </c>
      <c r="E10" s="36" t="s">
        <v>267</v>
      </c>
      <c r="F10" s="3">
        <v>28</v>
      </c>
      <c r="G10" s="3">
        <v>0</v>
      </c>
      <c r="H10" s="3">
        <v>2</v>
      </c>
      <c r="I10" s="3">
        <v>2</v>
      </c>
      <c r="J10" s="3">
        <v>4</v>
      </c>
      <c r="K10" s="3">
        <v>16</v>
      </c>
      <c r="L10" s="3">
        <v>10</v>
      </c>
      <c r="M10" s="20">
        <v>6</v>
      </c>
      <c r="N10" s="3">
        <v>214</v>
      </c>
      <c r="O10" s="3">
        <v>66</v>
      </c>
      <c r="P10" s="4">
        <v>0.30841121495327101</v>
      </c>
      <c r="Q10" s="5">
        <v>4.125</v>
      </c>
      <c r="R10" s="6">
        <v>0</v>
      </c>
      <c r="S10" s="6">
        <v>3.3406565656565701</v>
      </c>
      <c r="T10" s="11">
        <v>66</v>
      </c>
      <c r="U10" s="3"/>
      <c r="V10" s="11">
        <v>0</v>
      </c>
    </row>
    <row r="11" spans="1:22" x14ac:dyDescent="0.35">
      <c r="A11" s="49" t="s">
        <v>362</v>
      </c>
      <c r="B11" s="33" t="s">
        <v>153</v>
      </c>
      <c r="C11" s="17" t="s">
        <v>154</v>
      </c>
      <c r="D11" s="16" t="s">
        <v>131</v>
      </c>
      <c r="E11" s="38" t="s">
        <v>282</v>
      </c>
      <c r="F11" s="17">
        <v>28</v>
      </c>
      <c r="G11" s="17">
        <v>0</v>
      </c>
      <c r="H11" s="17">
        <v>0</v>
      </c>
      <c r="I11" s="17">
        <v>0</v>
      </c>
      <c r="J11" s="17">
        <v>0</v>
      </c>
      <c r="K11" s="17">
        <v>20</v>
      </c>
      <c r="L11" s="17">
        <v>15</v>
      </c>
      <c r="M11" s="17">
        <v>5</v>
      </c>
      <c r="N11" s="17">
        <v>878</v>
      </c>
      <c r="O11" s="17">
        <v>787</v>
      </c>
      <c r="P11" s="18">
        <v>0.89635535307517089</v>
      </c>
      <c r="Q11" s="19">
        <v>9.6081336405529871</v>
      </c>
      <c r="R11" s="19">
        <v>0.38349713027753746</v>
      </c>
      <c r="S11" s="19">
        <v>9.2818791345820468</v>
      </c>
      <c r="T11" s="30">
        <v>36</v>
      </c>
      <c r="U11" s="17"/>
      <c r="V11" s="30"/>
    </row>
    <row r="12" spans="1:22" x14ac:dyDescent="0.35">
      <c r="A12" s="49" t="s">
        <v>362</v>
      </c>
      <c r="B12" s="32"/>
      <c r="C12" s="3"/>
      <c r="D12" s="9" t="s">
        <v>340</v>
      </c>
      <c r="E12" s="39" t="s">
        <v>269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4">
        <v>0</v>
      </c>
      <c r="Q12" s="5">
        <v>0</v>
      </c>
      <c r="R12" s="6">
        <v>0</v>
      </c>
      <c r="S12" s="6">
        <v>0</v>
      </c>
      <c r="T12" s="11">
        <v>0</v>
      </c>
      <c r="U12" s="3"/>
      <c r="V12" s="11">
        <v>0</v>
      </c>
    </row>
    <row r="13" spans="1:22" x14ac:dyDescent="0.35">
      <c r="A13" s="49" t="s">
        <v>362</v>
      </c>
      <c r="B13" s="32" t="s">
        <v>247</v>
      </c>
      <c r="C13" s="3">
        <v>1839</v>
      </c>
      <c r="D13" s="2" t="s">
        <v>246</v>
      </c>
      <c r="E13" s="39" t="s">
        <v>270</v>
      </c>
      <c r="F13" s="3">
        <v>28</v>
      </c>
      <c r="G13" s="3">
        <v>0</v>
      </c>
      <c r="H13" s="3">
        <v>0</v>
      </c>
      <c r="I13" s="3">
        <v>1</v>
      </c>
      <c r="J13" s="3">
        <v>1</v>
      </c>
      <c r="K13" s="3">
        <v>19</v>
      </c>
      <c r="L13" s="3">
        <v>17</v>
      </c>
      <c r="M13" s="20">
        <v>2</v>
      </c>
      <c r="N13" s="3">
        <v>182</v>
      </c>
      <c r="O13" s="3">
        <v>144</v>
      </c>
      <c r="P13" s="4">
        <v>0.79120879120879095</v>
      </c>
      <c r="Q13" s="5">
        <v>7.5789473684210504</v>
      </c>
      <c r="R13" s="6">
        <v>0</v>
      </c>
      <c r="S13" s="6">
        <v>25.447106481481502</v>
      </c>
      <c r="T13" s="11">
        <v>144</v>
      </c>
      <c r="U13" s="3"/>
      <c r="V13" s="11">
        <v>0</v>
      </c>
    </row>
    <row r="14" spans="1:22" x14ac:dyDescent="0.35">
      <c r="A14" s="49" t="s">
        <v>362</v>
      </c>
      <c r="B14" s="32">
        <v>46023</v>
      </c>
      <c r="C14" s="3">
        <v>2018</v>
      </c>
      <c r="D14" s="1" t="s">
        <v>272</v>
      </c>
      <c r="E14" s="39" t="s">
        <v>271</v>
      </c>
      <c r="F14" s="3">
        <v>28</v>
      </c>
      <c r="G14" s="3">
        <v>0</v>
      </c>
      <c r="H14" s="3">
        <v>1</v>
      </c>
      <c r="I14" s="3">
        <v>1.5</v>
      </c>
      <c r="J14" s="3">
        <v>2.5</v>
      </c>
      <c r="K14" s="3">
        <v>17.5</v>
      </c>
      <c r="L14" s="3">
        <v>16</v>
      </c>
      <c r="M14" s="20">
        <v>1.5</v>
      </c>
      <c r="N14" s="3">
        <v>158</v>
      </c>
      <c r="O14" s="3">
        <v>120</v>
      </c>
      <c r="P14" s="4">
        <v>0.759493670886076</v>
      </c>
      <c r="Q14" s="5">
        <v>6.8571428571428603</v>
      </c>
      <c r="R14" s="6">
        <v>0</v>
      </c>
      <c r="S14" s="6">
        <v>12.0077777777778</v>
      </c>
      <c r="T14" s="11">
        <v>120</v>
      </c>
      <c r="U14" s="3"/>
      <c r="V14" s="11">
        <v>0</v>
      </c>
    </row>
    <row r="15" spans="1:22" x14ac:dyDescent="0.35">
      <c r="A15" s="49" t="s">
        <v>362</v>
      </c>
      <c r="B15" s="32">
        <v>46032</v>
      </c>
      <c r="C15" s="3">
        <v>2074</v>
      </c>
      <c r="D15" s="1" t="s">
        <v>274</v>
      </c>
      <c r="E15" s="39" t="s">
        <v>273</v>
      </c>
      <c r="F15" s="3">
        <v>28</v>
      </c>
      <c r="G15" s="3">
        <v>0</v>
      </c>
      <c r="H15" s="3">
        <v>0</v>
      </c>
      <c r="I15" s="3">
        <v>1</v>
      </c>
      <c r="J15" s="3">
        <v>1</v>
      </c>
      <c r="K15" s="3">
        <v>19</v>
      </c>
      <c r="L15" s="3">
        <v>17</v>
      </c>
      <c r="M15" s="20">
        <v>2</v>
      </c>
      <c r="N15" s="3">
        <v>253</v>
      </c>
      <c r="O15" s="3">
        <v>131</v>
      </c>
      <c r="P15" s="4">
        <v>0.51778656126482203</v>
      </c>
      <c r="Q15" s="5">
        <v>6.8947368421052602</v>
      </c>
      <c r="R15" s="6">
        <v>0</v>
      </c>
      <c r="S15" s="6">
        <v>16.027099236641199</v>
      </c>
      <c r="T15" s="11">
        <v>131</v>
      </c>
      <c r="U15" s="3"/>
      <c r="V15" s="11">
        <v>0</v>
      </c>
    </row>
    <row r="16" spans="1:22" x14ac:dyDescent="0.35">
      <c r="A16" s="49" t="s">
        <v>362</v>
      </c>
      <c r="B16" s="32" t="s">
        <v>160</v>
      </c>
      <c r="C16" s="3" t="s">
        <v>161</v>
      </c>
      <c r="D16" s="2" t="s">
        <v>19</v>
      </c>
      <c r="E16" s="39" t="s">
        <v>275</v>
      </c>
      <c r="F16" s="3">
        <v>28</v>
      </c>
      <c r="G16" s="3">
        <v>0</v>
      </c>
      <c r="H16" s="3">
        <v>0</v>
      </c>
      <c r="I16" s="3">
        <v>0</v>
      </c>
      <c r="J16" s="3">
        <v>0</v>
      </c>
      <c r="K16" s="3">
        <v>20</v>
      </c>
      <c r="L16" s="3">
        <v>0</v>
      </c>
      <c r="M16" s="20">
        <v>20</v>
      </c>
      <c r="N16" s="3">
        <v>147</v>
      </c>
      <c r="O16" s="3">
        <v>0</v>
      </c>
      <c r="P16" s="4">
        <v>0</v>
      </c>
      <c r="Q16" s="5">
        <v>0</v>
      </c>
      <c r="R16" s="6">
        <v>0</v>
      </c>
      <c r="S16" s="6">
        <v>0</v>
      </c>
      <c r="T16" s="11">
        <v>0</v>
      </c>
      <c r="U16" s="3"/>
      <c r="V16" s="11">
        <v>0</v>
      </c>
    </row>
    <row r="17" spans="1:22" x14ac:dyDescent="0.35">
      <c r="A17" s="49" t="s">
        <v>362</v>
      </c>
      <c r="B17" s="32" t="s">
        <v>144</v>
      </c>
      <c r="C17" s="3" t="s">
        <v>162</v>
      </c>
      <c r="D17" s="2" t="s">
        <v>348</v>
      </c>
      <c r="E17" s="39" t="s">
        <v>276</v>
      </c>
      <c r="F17" s="3">
        <v>28</v>
      </c>
      <c r="G17" s="3">
        <v>0</v>
      </c>
      <c r="H17" s="3">
        <v>1</v>
      </c>
      <c r="I17" s="3">
        <v>1</v>
      </c>
      <c r="J17" s="3">
        <v>2</v>
      </c>
      <c r="K17" s="3">
        <v>18</v>
      </c>
      <c r="L17" s="3">
        <v>15</v>
      </c>
      <c r="M17" s="20">
        <v>3</v>
      </c>
      <c r="N17" s="3">
        <v>189</v>
      </c>
      <c r="O17" s="3">
        <v>127</v>
      </c>
      <c r="P17" s="4">
        <v>0.67195767195767198</v>
      </c>
      <c r="Q17" s="5">
        <v>7.0555555555555598</v>
      </c>
      <c r="R17" s="6">
        <v>1.5748031496062999E-2</v>
      </c>
      <c r="S17" s="6">
        <v>15.453018372703401</v>
      </c>
      <c r="T17" s="11">
        <v>127</v>
      </c>
      <c r="U17" s="3"/>
      <c r="V17" s="11">
        <v>0</v>
      </c>
    </row>
    <row r="18" spans="1:22" x14ac:dyDescent="0.35">
      <c r="A18" s="49" t="s">
        <v>362</v>
      </c>
      <c r="B18" s="32">
        <v>46033</v>
      </c>
      <c r="C18" s="3">
        <v>2075</v>
      </c>
      <c r="D18" s="1" t="s">
        <v>279</v>
      </c>
      <c r="E18" s="39" t="s">
        <v>277</v>
      </c>
      <c r="F18" s="3">
        <v>28</v>
      </c>
      <c r="G18" s="3">
        <v>0</v>
      </c>
      <c r="H18" s="3">
        <v>0</v>
      </c>
      <c r="I18" s="3">
        <v>1</v>
      </c>
      <c r="J18" s="3">
        <v>1</v>
      </c>
      <c r="K18" s="3">
        <v>19</v>
      </c>
      <c r="L18" s="3">
        <v>16</v>
      </c>
      <c r="M18" s="20">
        <v>3</v>
      </c>
      <c r="N18" s="3">
        <v>197</v>
      </c>
      <c r="O18" s="3">
        <v>163</v>
      </c>
      <c r="P18" s="4">
        <v>0.82741116751268995</v>
      </c>
      <c r="Q18" s="5">
        <v>8.6315789473684195</v>
      </c>
      <c r="R18" s="6">
        <v>0.32317073170731703</v>
      </c>
      <c r="S18" s="6">
        <v>7.3282520325203304</v>
      </c>
      <c r="T18" s="11">
        <v>164</v>
      </c>
      <c r="U18" s="3"/>
      <c r="V18" s="70">
        <v>1</v>
      </c>
    </row>
    <row r="19" spans="1:22" x14ac:dyDescent="0.35">
      <c r="A19" s="49" t="s">
        <v>362</v>
      </c>
      <c r="B19" s="32">
        <v>46023</v>
      </c>
      <c r="C19" s="3">
        <v>2019</v>
      </c>
      <c r="D19" s="1" t="s">
        <v>280</v>
      </c>
      <c r="E19" s="39" t="s">
        <v>278</v>
      </c>
      <c r="F19" s="3">
        <v>28</v>
      </c>
      <c r="G19" s="3">
        <v>0</v>
      </c>
      <c r="H19" s="3">
        <v>0</v>
      </c>
      <c r="I19" s="3">
        <v>0.5</v>
      </c>
      <c r="J19" s="3">
        <v>0.5</v>
      </c>
      <c r="K19" s="3">
        <v>19.5</v>
      </c>
      <c r="L19" s="3">
        <v>14</v>
      </c>
      <c r="M19" s="20">
        <v>5.5</v>
      </c>
      <c r="N19" s="3">
        <v>194</v>
      </c>
      <c r="O19" s="3">
        <v>146</v>
      </c>
      <c r="P19" s="4">
        <v>0.75257731958762897</v>
      </c>
      <c r="Q19" s="5">
        <v>7.5384615384615401</v>
      </c>
      <c r="R19" s="6">
        <v>0.97278911564625803</v>
      </c>
      <c r="S19" s="6">
        <v>4.8744897959183699</v>
      </c>
      <c r="T19" s="11">
        <v>147</v>
      </c>
      <c r="U19" s="40"/>
      <c r="V19" s="70">
        <v>1</v>
      </c>
    </row>
    <row r="20" spans="1:22" x14ac:dyDescent="0.35">
      <c r="A20" s="49" t="s">
        <v>362</v>
      </c>
      <c r="B20" s="41">
        <v>46023</v>
      </c>
      <c r="C20" s="42">
        <v>1902</v>
      </c>
      <c r="D20" s="42" t="s">
        <v>281</v>
      </c>
      <c r="E20" s="38" t="s">
        <v>283</v>
      </c>
      <c r="F20" s="17">
        <v>28</v>
      </c>
      <c r="G20" s="17">
        <v>0</v>
      </c>
      <c r="H20" s="17">
        <v>0</v>
      </c>
      <c r="I20" s="17">
        <v>0</v>
      </c>
      <c r="J20" s="17">
        <v>0</v>
      </c>
      <c r="K20" s="17">
        <v>20</v>
      </c>
      <c r="L20" s="17">
        <v>13</v>
      </c>
      <c r="M20" s="17">
        <v>7</v>
      </c>
      <c r="N20" s="17">
        <v>518</v>
      </c>
      <c r="O20" s="17">
        <v>271</v>
      </c>
      <c r="P20" s="18">
        <v>0.52316602316602312</v>
      </c>
      <c r="Q20" s="19">
        <v>4.878167641325537</v>
      </c>
      <c r="R20" s="19">
        <v>5.2493438320209999E-3</v>
      </c>
      <c r="S20" s="19">
        <v>13.633374951394968</v>
      </c>
      <c r="T20" s="17">
        <v>271</v>
      </c>
      <c r="U20" s="17"/>
      <c r="V20" s="30"/>
    </row>
    <row r="21" spans="1:22" x14ac:dyDescent="0.35">
      <c r="A21" s="49" t="s">
        <v>362</v>
      </c>
      <c r="B21" s="32" t="s">
        <v>151</v>
      </c>
      <c r="C21" s="3" t="s">
        <v>166</v>
      </c>
      <c r="D21" s="10" t="s">
        <v>125</v>
      </c>
      <c r="E21" s="39" t="s">
        <v>284</v>
      </c>
      <c r="F21" s="3">
        <v>28</v>
      </c>
      <c r="G21" s="3">
        <v>0</v>
      </c>
      <c r="H21" s="3">
        <v>0</v>
      </c>
      <c r="I21" s="3">
        <v>0</v>
      </c>
      <c r="J21" s="3">
        <v>0</v>
      </c>
      <c r="K21" s="3">
        <v>20</v>
      </c>
      <c r="L21" s="3">
        <v>17</v>
      </c>
      <c r="M21" s="20">
        <v>3</v>
      </c>
      <c r="N21" s="3">
        <v>216</v>
      </c>
      <c r="O21" s="3">
        <v>163</v>
      </c>
      <c r="P21" s="4">
        <v>0.75462962962962998</v>
      </c>
      <c r="Q21" s="5">
        <v>8.15</v>
      </c>
      <c r="R21" s="6">
        <v>1.49693251533742</v>
      </c>
      <c r="S21" s="6">
        <v>20.248466257668699</v>
      </c>
      <c r="T21" s="11">
        <v>163</v>
      </c>
      <c r="U21" s="3"/>
      <c r="V21" s="11">
        <v>0</v>
      </c>
    </row>
    <row r="22" spans="1:22" x14ac:dyDescent="0.35">
      <c r="A22" s="49" t="s">
        <v>362</v>
      </c>
      <c r="B22" s="32">
        <v>46023</v>
      </c>
      <c r="C22" s="3">
        <v>2020</v>
      </c>
      <c r="D22" s="1" t="s">
        <v>287</v>
      </c>
      <c r="E22" s="39" t="s">
        <v>285</v>
      </c>
      <c r="F22" s="3">
        <v>28</v>
      </c>
      <c r="G22" s="3">
        <v>0</v>
      </c>
      <c r="H22" s="3">
        <v>0</v>
      </c>
      <c r="I22" s="3">
        <v>0</v>
      </c>
      <c r="J22" s="3">
        <v>0</v>
      </c>
      <c r="K22" s="3">
        <v>20</v>
      </c>
      <c r="L22" s="3">
        <v>18</v>
      </c>
      <c r="M22" s="20">
        <v>2</v>
      </c>
      <c r="N22" s="3">
        <v>215</v>
      </c>
      <c r="O22" s="3">
        <v>148</v>
      </c>
      <c r="P22" s="4">
        <v>0.68837209302325597</v>
      </c>
      <c r="Q22" s="5">
        <v>7.8</v>
      </c>
      <c r="R22" s="6">
        <v>1.2692307692307701</v>
      </c>
      <c r="S22" s="6">
        <v>17.218055555555601</v>
      </c>
      <c r="T22" s="11">
        <v>156</v>
      </c>
      <c r="U22" s="3"/>
      <c r="V22" s="70">
        <v>8</v>
      </c>
    </row>
    <row r="23" spans="1:22" x14ac:dyDescent="0.35">
      <c r="A23" s="49" t="s">
        <v>362</v>
      </c>
      <c r="B23" s="32">
        <v>46032</v>
      </c>
      <c r="C23" s="3">
        <v>2039</v>
      </c>
      <c r="D23" s="1" t="s">
        <v>288</v>
      </c>
      <c r="E23" s="39" t="s">
        <v>286</v>
      </c>
      <c r="F23" s="3">
        <v>28</v>
      </c>
      <c r="G23" s="3">
        <v>0</v>
      </c>
      <c r="H23" s="3">
        <v>0</v>
      </c>
      <c r="I23" s="3">
        <v>0</v>
      </c>
      <c r="J23" s="3">
        <v>0</v>
      </c>
      <c r="K23" s="3">
        <v>20</v>
      </c>
      <c r="L23" s="3">
        <v>14</v>
      </c>
      <c r="M23" s="20">
        <v>6</v>
      </c>
      <c r="N23" s="3">
        <v>187</v>
      </c>
      <c r="O23" s="3">
        <v>110</v>
      </c>
      <c r="P23" s="4">
        <v>0.58823529411764697</v>
      </c>
      <c r="Q23" s="5">
        <v>6.55</v>
      </c>
      <c r="R23" s="6">
        <v>1.9160305343511499</v>
      </c>
      <c r="S23" s="6">
        <v>5.3447837150127198</v>
      </c>
      <c r="T23" s="11">
        <v>131</v>
      </c>
      <c r="U23" s="3"/>
      <c r="V23" s="70">
        <v>21</v>
      </c>
    </row>
    <row r="24" spans="1:22" x14ac:dyDescent="0.35">
      <c r="A24" s="49" t="s">
        <v>362</v>
      </c>
      <c r="B24" s="32" t="s">
        <v>144</v>
      </c>
      <c r="C24" s="3" t="s">
        <v>169</v>
      </c>
      <c r="D24" s="2" t="s">
        <v>65</v>
      </c>
      <c r="E24" s="39" t="s">
        <v>289</v>
      </c>
      <c r="F24" s="3">
        <v>28</v>
      </c>
      <c r="G24" s="3">
        <v>0</v>
      </c>
      <c r="H24" s="3">
        <v>0</v>
      </c>
      <c r="I24" s="3">
        <v>0</v>
      </c>
      <c r="J24" s="3">
        <v>0</v>
      </c>
      <c r="K24" s="3">
        <v>20</v>
      </c>
      <c r="L24" s="3">
        <v>18</v>
      </c>
      <c r="M24" s="20">
        <v>2</v>
      </c>
      <c r="N24" s="3">
        <v>184</v>
      </c>
      <c r="O24" s="3">
        <v>157</v>
      </c>
      <c r="P24" s="4">
        <v>0.85326086956521696</v>
      </c>
      <c r="Q24" s="5">
        <v>7.9</v>
      </c>
      <c r="R24" s="6">
        <v>0</v>
      </c>
      <c r="S24" s="6">
        <v>15.1150843881857</v>
      </c>
      <c r="T24" s="11">
        <v>158</v>
      </c>
      <c r="U24" s="3"/>
      <c r="V24" s="70">
        <v>1</v>
      </c>
    </row>
    <row r="25" spans="1:22" x14ac:dyDescent="0.35">
      <c r="A25" s="49" t="s">
        <v>362</v>
      </c>
      <c r="B25" s="32" t="s">
        <v>170</v>
      </c>
      <c r="C25" s="3" t="s">
        <v>171</v>
      </c>
      <c r="D25" s="2" t="s">
        <v>117</v>
      </c>
      <c r="E25" s="39" t="s">
        <v>290</v>
      </c>
      <c r="F25" s="3">
        <v>28</v>
      </c>
      <c r="G25" s="3">
        <v>0</v>
      </c>
      <c r="H25" s="3">
        <v>0</v>
      </c>
      <c r="I25" s="3">
        <v>0</v>
      </c>
      <c r="J25" s="3">
        <v>0</v>
      </c>
      <c r="K25" s="3">
        <v>20</v>
      </c>
      <c r="L25" s="3">
        <v>16</v>
      </c>
      <c r="M25" s="20">
        <v>4</v>
      </c>
      <c r="N25" s="3">
        <v>147</v>
      </c>
      <c r="O25" s="3">
        <v>123</v>
      </c>
      <c r="P25" s="4">
        <v>0.83673469387755095</v>
      </c>
      <c r="Q25" s="5">
        <v>6.15</v>
      </c>
      <c r="R25" s="6">
        <v>1.82113821138211</v>
      </c>
      <c r="S25" s="6">
        <v>25.008401084010799</v>
      </c>
      <c r="T25" s="11">
        <v>123</v>
      </c>
      <c r="U25" s="3"/>
      <c r="V25" s="11">
        <v>0</v>
      </c>
    </row>
    <row r="26" spans="1:22" x14ac:dyDescent="0.35">
      <c r="A26" s="49" t="s">
        <v>362</v>
      </c>
      <c r="B26" s="32">
        <v>46023</v>
      </c>
      <c r="C26" s="3">
        <v>2021</v>
      </c>
      <c r="D26" s="1" t="s">
        <v>292</v>
      </c>
      <c r="E26" s="39" t="s">
        <v>291</v>
      </c>
      <c r="F26" s="3">
        <v>28</v>
      </c>
      <c r="G26" s="3">
        <v>0</v>
      </c>
      <c r="H26" s="3">
        <v>0</v>
      </c>
      <c r="I26" s="3">
        <v>0</v>
      </c>
      <c r="J26" s="3">
        <v>0</v>
      </c>
      <c r="K26" s="3">
        <v>20</v>
      </c>
      <c r="L26" s="3">
        <v>18</v>
      </c>
      <c r="M26" s="20">
        <v>2</v>
      </c>
      <c r="N26" s="3">
        <v>156</v>
      </c>
      <c r="O26" s="3">
        <v>169</v>
      </c>
      <c r="P26" s="4">
        <v>1.0833333333333299</v>
      </c>
      <c r="Q26" s="5">
        <v>8.4499999999999993</v>
      </c>
      <c r="R26" s="6">
        <v>1.7692307692307701</v>
      </c>
      <c r="S26" s="6">
        <v>5.2704142011834296</v>
      </c>
      <c r="T26" s="11">
        <v>169</v>
      </c>
      <c r="U26" s="3"/>
      <c r="V26" s="11">
        <v>0</v>
      </c>
    </row>
    <row r="27" spans="1:22" x14ac:dyDescent="0.35">
      <c r="A27" s="49" t="s">
        <v>362</v>
      </c>
      <c r="B27" s="32" t="s">
        <v>174</v>
      </c>
      <c r="C27" s="3" t="s">
        <v>175</v>
      </c>
      <c r="D27" s="2" t="s">
        <v>26</v>
      </c>
      <c r="E27" s="39" t="s">
        <v>293</v>
      </c>
      <c r="F27" s="3">
        <v>28</v>
      </c>
      <c r="G27" s="3">
        <v>0</v>
      </c>
      <c r="H27" s="3">
        <v>0</v>
      </c>
      <c r="I27" s="3">
        <v>0</v>
      </c>
      <c r="J27" s="3">
        <v>0</v>
      </c>
      <c r="K27" s="3">
        <v>20</v>
      </c>
      <c r="L27" s="3">
        <v>17</v>
      </c>
      <c r="M27" s="20">
        <v>3</v>
      </c>
      <c r="N27" s="3">
        <v>232</v>
      </c>
      <c r="O27" s="3">
        <v>163</v>
      </c>
      <c r="P27" s="4">
        <v>0.70258620689655205</v>
      </c>
      <c r="Q27" s="5">
        <v>8.15</v>
      </c>
      <c r="R27" s="6">
        <v>0</v>
      </c>
      <c r="S27" s="6">
        <v>28.1849693251534</v>
      </c>
      <c r="T27" s="11">
        <v>163</v>
      </c>
      <c r="U27" s="3"/>
      <c r="V27" s="11">
        <v>0</v>
      </c>
    </row>
    <row r="28" spans="1:22" x14ac:dyDescent="0.35">
      <c r="A28" s="49" t="s">
        <v>362</v>
      </c>
      <c r="B28" s="32" t="s">
        <v>144</v>
      </c>
      <c r="C28" s="3" t="s">
        <v>176</v>
      </c>
      <c r="D28" s="2" t="s">
        <v>70</v>
      </c>
      <c r="E28" s="39" t="s">
        <v>294</v>
      </c>
      <c r="F28" s="3">
        <v>28</v>
      </c>
      <c r="G28" s="3">
        <v>0</v>
      </c>
      <c r="H28" s="3">
        <v>0</v>
      </c>
      <c r="I28" s="3">
        <v>0</v>
      </c>
      <c r="J28" s="3">
        <v>0</v>
      </c>
      <c r="K28" s="3">
        <v>20</v>
      </c>
      <c r="L28" s="3">
        <v>17</v>
      </c>
      <c r="M28" s="20">
        <v>3</v>
      </c>
      <c r="N28" s="3">
        <v>212</v>
      </c>
      <c r="O28" s="3">
        <v>148</v>
      </c>
      <c r="P28" s="4">
        <v>0.69811320754716999</v>
      </c>
      <c r="Q28" s="5">
        <v>7.5</v>
      </c>
      <c r="R28" s="6">
        <v>0</v>
      </c>
      <c r="S28" s="6">
        <v>12.240222222222201</v>
      </c>
      <c r="T28" s="11">
        <v>150</v>
      </c>
      <c r="U28" s="3"/>
      <c r="V28" s="70">
        <v>2</v>
      </c>
    </row>
    <row r="29" spans="1:22" x14ac:dyDescent="0.35">
      <c r="A29" s="49" t="s">
        <v>362</v>
      </c>
      <c r="B29" s="33"/>
      <c r="C29" s="17"/>
      <c r="D29" s="27" t="s">
        <v>358</v>
      </c>
      <c r="E29" s="38" t="s">
        <v>295</v>
      </c>
      <c r="F29" s="17">
        <v>28</v>
      </c>
      <c r="G29" s="17">
        <v>0</v>
      </c>
      <c r="H29" s="17">
        <v>0</v>
      </c>
      <c r="I29" s="17">
        <v>0</v>
      </c>
      <c r="J29" s="17">
        <v>0</v>
      </c>
      <c r="K29" s="17">
        <v>20</v>
      </c>
      <c r="L29" s="17">
        <v>0</v>
      </c>
      <c r="M29" s="17">
        <v>20</v>
      </c>
      <c r="N29" s="17">
        <v>775</v>
      </c>
      <c r="O29" s="17">
        <v>591</v>
      </c>
      <c r="P29" s="18">
        <v>0.76258064516129032</v>
      </c>
      <c r="Q29" s="19">
        <v>7.4250000000000007</v>
      </c>
      <c r="R29" s="19">
        <v>0.45528455284552749</v>
      </c>
      <c r="S29" s="19">
        <v>20.137169254893024</v>
      </c>
      <c r="T29" s="17">
        <v>594</v>
      </c>
      <c r="U29" s="17"/>
      <c r="V29" s="30"/>
    </row>
    <row r="30" spans="1:22" x14ac:dyDescent="0.35">
      <c r="A30" s="49" t="s">
        <v>362</v>
      </c>
      <c r="B30" s="32">
        <v>46023</v>
      </c>
      <c r="C30" s="3">
        <v>1992</v>
      </c>
      <c r="D30" s="1" t="s">
        <v>298</v>
      </c>
      <c r="E30" s="39" t="s">
        <v>296</v>
      </c>
      <c r="F30" s="3">
        <v>28</v>
      </c>
      <c r="G30" s="3">
        <v>0</v>
      </c>
      <c r="H30" s="3">
        <v>0</v>
      </c>
      <c r="I30" s="3">
        <v>1</v>
      </c>
      <c r="J30" s="3">
        <v>1</v>
      </c>
      <c r="K30" s="3">
        <v>19</v>
      </c>
      <c r="L30" s="3">
        <v>18</v>
      </c>
      <c r="M30" s="20">
        <v>1</v>
      </c>
      <c r="N30" s="3">
        <v>192</v>
      </c>
      <c r="O30" s="3">
        <v>141</v>
      </c>
      <c r="P30" s="4">
        <v>0.734375</v>
      </c>
      <c r="Q30" s="5">
        <v>8.5263157894736796</v>
      </c>
      <c r="R30" s="6">
        <v>1.3641975308642</v>
      </c>
      <c r="S30" s="6">
        <v>11.561213991769501</v>
      </c>
      <c r="T30" s="11">
        <v>162</v>
      </c>
      <c r="U30" s="3"/>
      <c r="V30" s="70">
        <v>21</v>
      </c>
    </row>
    <row r="31" spans="1:22" x14ac:dyDescent="0.35">
      <c r="A31" s="49" t="s">
        <v>362</v>
      </c>
      <c r="B31" s="32">
        <v>46023</v>
      </c>
      <c r="C31" s="3">
        <v>1995</v>
      </c>
      <c r="D31" s="1" t="s">
        <v>299</v>
      </c>
      <c r="E31" s="39" t="s">
        <v>297</v>
      </c>
      <c r="F31" s="3">
        <v>28</v>
      </c>
      <c r="G31" s="3">
        <v>0</v>
      </c>
      <c r="H31" s="3">
        <v>1</v>
      </c>
      <c r="I31" s="3">
        <v>1</v>
      </c>
      <c r="J31" s="3">
        <v>2</v>
      </c>
      <c r="K31" s="3">
        <v>18</v>
      </c>
      <c r="L31" s="3">
        <v>17</v>
      </c>
      <c r="M31" s="20">
        <v>1</v>
      </c>
      <c r="N31" s="3">
        <v>159</v>
      </c>
      <c r="O31" s="3">
        <v>137</v>
      </c>
      <c r="P31" s="4">
        <v>0.86163522012578597</v>
      </c>
      <c r="Q31" s="5">
        <v>8.6111111111111107</v>
      </c>
      <c r="R31" s="6">
        <v>0</v>
      </c>
      <c r="S31" s="6">
        <v>12.2909677419355</v>
      </c>
      <c r="T31" s="11">
        <v>155</v>
      </c>
      <c r="U31" s="3"/>
      <c r="V31" s="70">
        <v>18</v>
      </c>
    </row>
    <row r="32" spans="1:22" x14ac:dyDescent="0.35">
      <c r="A32" s="49" t="s">
        <v>362</v>
      </c>
      <c r="B32" s="32">
        <v>46023</v>
      </c>
      <c r="C32" s="3">
        <v>1994</v>
      </c>
      <c r="D32" s="1" t="s">
        <v>303</v>
      </c>
      <c r="E32" s="39" t="s">
        <v>300</v>
      </c>
      <c r="F32" s="3">
        <v>28</v>
      </c>
      <c r="G32" s="3">
        <v>0</v>
      </c>
      <c r="H32" s="3">
        <v>2</v>
      </c>
      <c r="I32" s="3">
        <v>1</v>
      </c>
      <c r="J32" s="3">
        <v>3</v>
      </c>
      <c r="K32" s="3">
        <v>17</v>
      </c>
      <c r="L32" s="3">
        <v>17</v>
      </c>
      <c r="M32" s="3">
        <v>0</v>
      </c>
      <c r="N32" s="3">
        <v>213</v>
      </c>
      <c r="O32" s="3">
        <v>132</v>
      </c>
      <c r="P32" s="4">
        <v>0.61971830985915499</v>
      </c>
      <c r="Q32" s="5">
        <v>8.1764705882352899</v>
      </c>
      <c r="R32" s="6">
        <v>1.02158273381295</v>
      </c>
      <c r="S32" s="6">
        <v>7.2068345323741001</v>
      </c>
      <c r="T32" s="11">
        <v>139</v>
      </c>
      <c r="U32" s="3"/>
      <c r="V32" s="70">
        <v>7</v>
      </c>
    </row>
    <row r="33" spans="1:22" x14ac:dyDescent="0.35">
      <c r="A33" s="49" t="s">
        <v>362</v>
      </c>
      <c r="B33" s="32"/>
      <c r="C33" s="3"/>
      <c r="D33" s="37" t="s">
        <v>304</v>
      </c>
      <c r="E33" s="39" t="s">
        <v>301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v>0</v>
      </c>
      <c r="Q33" s="5">
        <v>0</v>
      </c>
      <c r="R33" s="6">
        <v>0</v>
      </c>
      <c r="S33" s="6">
        <v>0</v>
      </c>
      <c r="T33" s="11">
        <v>0</v>
      </c>
      <c r="U33" s="3"/>
      <c r="V33" s="11">
        <v>0</v>
      </c>
    </row>
    <row r="34" spans="1:22" x14ac:dyDescent="0.35">
      <c r="A34" s="49" t="s">
        <v>362</v>
      </c>
      <c r="B34" s="32">
        <v>46023</v>
      </c>
      <c r="C34" s="3">
        <v>1993</v>
      </c>
      <c r="D34" s="1" t="s">
        <v>305</v>
      </c>
      <c r="E34" s="39" t="s">
        <v>302</v>
      </c>
      <c r="F34" s="3">
        <v>28</v>
      </c>
      <c r="G34" s="3">
        <v>0</v>
      </c>
      <c r="H34" s="3">
        <v>1</v>
      </c>
      <c r="I34" s="3">
        <v>1</v>
      </c>
      <c r="J34" s="3">
        <v>2</v>
      </c>
      <c r="K34" s="3">
        <v>18</v>
      </c>
      <c r="L34" s="3">
        <v>18</v>
      </c>
      <c r="M34" s="3">
        <v>0</v>
      </c>
      <c r="N34" s="3">
        <v>198</v>
      </c>
      <c r="O34" s="3">
        <v>92</v>
      </c>
      <c r="P34" s="4">
        <v>0.46464646464646497</v>
      </c>
      <c r="Q34" s="5">
        <v>7.8333333333333304</v>
      </c>
      <c r="R34" s="6">
        <v>0</v>
      </c>
      <c r="S34" s="6">
        <v>5.1261229314420804</v>
      </c>
      <c r="T34" s="11">
        <v>141</v>
      </c>
      <c r="U34" s="3"/>
      <c r="V34" s="70">
        <v>49</v>
      </c>
    </row>
    <row r="35" spans="1:22" x14ac:dyDescent="0.35">
      <c r="A35" s="49" t="s">
        <v>362</v>
      </c>
      <c r="B35" s="32">
        <v>46054</v>
      </c>
      <c r="C35" s="3">
        <v>2133</v>
      </c>
      <c r="D35" s="1" t="s">
        <v>350</v>
      </c>
      <c r="E35" s="39" t="s">
        <v>306</v>
      </c>
      <c r="F35" s="3">
        <v>28</v>
      </c>
      <c r="G35" s="3">
        <v>0</v>
      </c>
      <c r="H35" s="3">
        <v>0</v>
      </c>
      <c r="I35" s="3">
        <v>0</v>
      </c>
      <c r="J35" s="3">
        <v>0</v>
      </c>
      <c r="K35" s="3">
        <v>20</v>
      </c>
      <c r="L35" s="3">
        <v>7</v>
      </c>
      <c r="M35" s="20">
        <v>13</v>
      </c>
      <c r="N35" s="3">
        <v>137</v>
      </c>
      <c r="O35" s="3">
        <v>35</v>
      </c>
      <c r="P35" s="4">
        <v>0.25547445255474499</v>
      </c>
      <c r="Q35" s="5">
        <v>2</v>
      </c>
      <c r="R35" s="6">
        <v>0.5</v>
      </c>
      <c r="S35" s="6">
        <v>8.8504166666666695</v>
      </c>
      <c r="T35" s="11">
        <v>40</v>
      </c>
      <c r="U35" s="3"/>
      <c r="V35" s="70">
        <v>5</v>
      </c>
    </row>
    <row r="36" spans="1:22" x14ac:dyDescent="0.35">
      <c r="A36" s="49" t="s">
        <v>362</v>
      </c>
      <c r="B36" s="32" t="s">
        <v>184</v>
      </c>
      <c r="C36" s="3" t="s">
        <v>185</v>
      </c>
      <c r="D36" s="2" t="s">
        <v>29</v>
      </c>
      <c r="E36" s="39" t="s">
        <v>307</v>
      </c>
      <c r="F36" s="3">
        <v>28</v>
      </c>
      <c r="G36" s="3">
        <v>0</v>
      </c>
      <c r="H36" s="3">
        <v>0</v>
      </c>
      <c r="I36" s="3">
        <v>1.5</v>
      </c>
      <c r="J36" s="3">
        <v>1.5</v>
      </c>
      <c r="K36" s="3">
        <v>18.5</v>
      </c>
      <c r="L36" s="3">
        <v>18</v>
      </c>
      <c r="M36" s="20">
        <v>0.5</v>
      </c>
      <c r="N36" s="3">
        <v>224</v>
      </c>
      <c r="O36" s="3">
        <v>144</v>
      </c>
      <c r="P36" s="4">
        <v>0.64285714285714302</v>
      </c>
      <c r="Q36" s="5">
        <v>7.9459459459459501</v>
      </c>
      <c r="R36" s="6">
        <v>0</v>
      </c>
      <c r="S36" s="6">
        <v>11.717460317460301</v>
      </c>
      <c r="T36" s="11">
        <v>147</v>
      </c>
      <c r="U36" s="3"/>
      <c r="V36" s="70">
        <v>3</v>
      </c>
    </row>
    <row r="37" spans="1:22" x14ac:dyDescent="0.35">
      <c r="A37" s="49" t="s">
        <v>362</v>
      </c>
      <c r="B37" s="41">
        <v>44703</v>
      </c>
      <c r="C37" s="17">
        <v>576</v>
      </c>
      <c r="D37" s="42" t="s">
        <v>308</v>
      </c>
      <c r="E37" s="38" t="s">
        <v>309</v>
      </c>
      <c r="F37" s="17">
        <v>28</v>
      </c>
      <c r="G37" s="17">
        <v>0</v>
      </c>
      <c r="H37" s="17">
        <v>0</v>
      </c>
      <c r="I37" s="17">
        <v>0</v>
      </c>
      <c r="J37" s="17">
        <v>0</v>
      </c>
      <c r="K37" s="17">
        <v>20</v>
      </c>
      <c r="L37" s="17">
        <v>11</v>
      </c>
      <c r="M37" s="17">
        <v>9</v>
      </c>
      <c r="N37" s="17">
        <v>224</v>
      </c>
      <c r="O37" s="17">
        <v>144</v>
      </c>
      <c r="P37" s="18">
        <v>0.6428571428571429</v>
      </c>
      <c r="Q37" s="19">
        <v>7.9459459459459501</v>
      </c>
      <c r="R37" s="19">
        <v>0</v>
      </c>
      <c r="S37" s="19">
        <v>11.717460317460301</v>
      </c>
      <c r="T37" s="17">
        <v>147</v>
      </c>
      <c r="U37" s="17"/>
      <c r="V37" s="30"/>
    </row>
    <row r="38" spans="1:22" x14ac:dyDescent="0.35">
      <c r="A38" s="49" t="s">
        <v>362</v>
      </c>
      <c r="B38" s="32">
        <v>46032</v>
      </c>
      <c r="C38" s="3">
        <v>2024</v>
      </c>
      <c r="D38" s="1" t="s">
        <v>312</v>
      </c>
      <c r="E38" s="39" t="s">
        <v>310</v>
      </c>
      <c r="F38" s="3">
        <v>28</v>
      </c>
      <c r="G38" s="3">
        <v>0</v>
      </c>
      <c r="H38" s="3">
        <v>1</v>
      </c>
      <c r="I38" s="3">
        <v>1.5</v>
      </c>
      <c r="J38" s="3">
        <v>2.5</v>
      </c>
      <c r="K38" s="3">
        <v>17.5</v>
      </c>
      <c r="L38" s="3">
        <v>18</v>
      </c>
      <c r="M38" s="3">
        <v>0</v>
      </c>
      <c r="N38" s="3">
        <v>161</v>
      </c>
      <c r="O38" s="3">
        <v>161</v>
      </c>
      <c r="P38" s="4">
        <v>1</v>
      </c>
      <c r="Q38" s="5">
        <v>9.3142857142857096</v>
      </c>
      <c r="R38" s="6">
        <v>0.97546012269938698</v>
      </c>
      <c r="S38" s="6">
        <v>10.4944785276074</v>
      </c>
      <c r="T38" s="11">
        <v>163</v>
      </c>
      <c r="U38" s="3"/>
      <c r="V38" s="70">
        <v>2</v>
      </c>
    </row>
    <row r="39" spans="1:22" x14ac:dyDescent="0.35">
      <c r="A39" s="49" t="s">
        <v>362</v>
      </c>
      <c r="B39" s="32" t="s">
        <v>189</v>
      </c>
      <c r="C39" s="3" t="s">
        <v>190</v>
      </c>
      <c r="D39" s="22" t="s">
        <v>137</v>
      </c>
      <c r="E39" s="39" t="s">
        <v>311</v>
      </c>
      <c r="F39" s="3">
        <v>28</v>
      </c>
      <c r="G39" s="3">
        <v>0</v>
      </c>
      <c r="H39" s="3">
        <v>1</v>
      </c>
      <c r="I39" s="3">
        <v>1.5</v>
      </c>
      <c r="J39" s="3">
        <v>2.5</v>
      </c>
      <c r="K39" s="3">
        <v>17.5</v>
      </c>
      <c r="L39" s="3">
        <v>17</v>
      </c>
      <c r="M39" s="20">
        <v>0.5</v>
      </c>
      <c r="N39" s="3">
        <v>128</v>
      </c>
      <c r="O39" s="3">
        <v>128</v>
      </c>
      <c r="P39" s="4">
        <v>1</v>
      </c>
      <c r="Q39" s="5">
        <v>7.3714285714285701</v>
      </c>
      <c r="R39" s="6">
        <v>1.0077519379844999</v>
      </c>
      <c r="S39" s="6">
        <v>17.7772609819121</v>
      </c>
      <c r="T39" s="11">
        <v>129</v>
      </c>
      <c r="U39" s="3"/>
      <c r="V39" s="70">
        <v>1</v>
      </c>
    </row>
    <row r="40" spans="1:22" x14ac:dyDescent="0.35">
      <c r="A40" s="49" t="s">
        <v>362</v>
      </c>
      <c r="B40" s="32">
        <v>46023</v>
      </c>
      <c r="C40" s="3">
        <v>2023</v>
      </c>
      <c r="D40" s="1" t="s">
        <v>353</v>
      </c>
      <c r="E40" s="39" t="s">
        <v>313</v>
      </c>
      <c r="F40" s="3">
        <v>28</v>
      </c>
      <c r="G40" s="3">
        <v>0</v>
      </c>
      <c r="H40" s="3">
        <v>1</v>
      </c>
      <c r="I40" s="3">
        <v>2</v>
      </c>
      <c r="J40" s="3">
        <v>3</v>
      </c>
      <c r="K40" s="3">
        <v>17</v>
      </c>
      <c r="L40" s="3">
        <v>18</v>
      </c>
      <c r="M40" s="3">
        <v>0</v>
      </c>
      <c r="N40" s="3">
        <v>146</v>
      </c>
      <c r="O40" s="3">
        <v>119</v>
      </c>
      <c r="P40" s="4">
        <v>0.81506849315068497</v>
      </c>
      <c r="Q40" s="5">
        <v>7.0588235294117601</v>
      </c>
      <c r="R40" s="6">
        <v>1.99166666666667</v>
      </c>
      <c r="S40" s="6">
        <v>3.8288888888888901</v>
      </c>
      <c r="T40" s="11">
        <v>120</v>
      </c>
      <c r="U40" s="3"/>
      <c r="V40" s="70">
        <v>1</v>
      </c>
    </row>
    <row r="41" spans="1:22" x14ac:dyDescent="0.35">
      <c r="A41" s="49" t="s">
        <v>362</v>
      </c>
      <c r="B41" s="32" t="s">
        <v>239</v>
      </c>
      <c r="C41" s="3">
        <v>1757</v>
      </c>
      <c r="D41" s="2" t="s">
        <v>243</v>
      </c>
      <c r="E41" s="39" t="s">
        <v>315</v>
      </c>
      <c r="F41" s="3">
        <v>28</v>
      </c>
      <c r="G41" s="3">
        <v>0</v>
      </c>
      <c r="H41" s="3">
        <v>2</v>
      </c>
      <c r="I41" s="3">
        <v>1.5</v>
      </c>
      <c r="J41" s="3">
        <v>3.5</v>
      </c>
      <c r="K41" s="3">
        <v>16.5</v>
      </c>
      <c r="L41" s="3">
        <v>17</v>
      </c>
      <c r="M41" s="3">
        <v>0</v>
      </c>
      <c r="N41" s="3">
        <v>129</v>
      </c>
      <c r="O41" s="3">
        <v>122</v>
      </c>
      <c r="P41" s="4">
        <v>0.94573643410852704</v>
      </c>
      <c r="Q41" s="5">
        <v>7.39393939393939</v>
      </c>
      <c r="R41" s="6">
        <v>0</v>
      </c>
      <c r="S41" s="6">
        <v>24.521174863388001</v>
      </c>
      <c r="T41" s="11">
        <v>122</v>
      </c>
      <c r="U41" s="3"/>
      <c r="V41" s="11">
        <v>0</v>
      </c>
    </row>
    <row r="42" spans="1:22" x14ac:dyDescent="0.35">
      <c r="A42" s="49" t="s">
        <v>362</v>
      </c>
      <c r="B42" s="32"/>
      <c r="C42" s="3"/>
      <c r="D42" s="9" t="s">
        <v>341</v>
      </c>
      <c r="E42" s="39" t="s">
        <v>314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4">
        <v>0</v>
      </c>
      <c r="Q42" s="5">
        <v>0</v>
      </c>
      <c r="R42" s="6">
        <v>0</v>
      </c>
      <c r="S42" s="6">
        <v>0</v>
      </c>
      <c r="T42" s="11">
        <v>0</v>
      </c>
      <c r="U42" s="3"/>
      <c r="V42" s="11">
        <v>0</v>
      </c>
    </row>
    <row r="43" spans="1:22" x14ac:dyDescent="0.35">
      <c r="A43" s="49" t="s">
        <v>362</v>
      </c>
      <c r="B43" s="32" t="s">
        <v>144</v>
      </c>
      <c r="C43" s="3" t="s">
        <v>192</v>
      </c>
      <c r="D43" s="2" t="s">
        <v>91</v>
      </c>
      <c r="E43" s="43" t="s">
        <v>251</v>
      </c>
      <c r="F43" s="3">
        <v>28</v>
      </c>
      <c r="G43" s="3">
        <v>0</v>
      </c>
      <c r="H43" s="3">
        <v>2</v>
      </c>
      <c r="I43" s="3">
        <v>3.5</v>
      </c>
      <c r="J43" s="3">
        <v>5.5</v>
      </c>
      <c r="K43" s="3">
        <v>14.5</v>
      </c>
      <c r="L43" s="3">
        <v>14</v>
      </c>
      <c r="M43" s="20">
        <v>0.5</v>
      </c>
      <c r="N43" s="3">
        <v>135</v>
      </c>
      <c r="O43" s="3">
        <v>129</v>
      </c>
      <c r="P43" s="4">
        <v>0.95555555555555605</v>
      </c>
      <c r="Q43" s="5">
        <v>8.8965517241379306</v>
      </c>
      <c r="R43" s="6">
        <v>0</v>
      </c>
      <c r="S43" s="6">
        <v>37.735529715762297</v>
      </c>
      <c r="T43" s="11">
        <v>129</v>
      </c>
      <c r="U43" s="3"/>
      <c r="V43" s="11">
        <v>0</v>
      </c>
    </row>
    <row r="44" spans="1:22" x14ac:dyDescent="0.35">
      <c r="A44" s="49" t="s">
        <v>362</v>
      </c>
      <c r="B44" s="32" t="s">
        <v>193</v>
      </c>
      <c r="C44" s="3" t="s">
        <v>194</v>
      </c>
      <c r="D44" s="2" t="s">
        <v>32</v>
      </c>
      <c r="E44" s="43" t="s">
        <v>252</v>
      </c>
      <c r="F44" s="3">
        <v>28</v>
      </c>
      <c r="G44" s="3">
        <v>0</v>
      </c>
      <c r="H44" s="3">
        <v>2</v>
      </c>
      <c r="I44" s="3">
        <v>1.5</v>
      </c>
      <c r="J44" s="3">
        <v>3.5</v>
      </c>
      <c r="K44" s="3">
        <v>16.5</v>
      </c>
      <c r="L44" s="3">
        <v>17</v>
      </c>
      <c r="M44" s="3">
        <v>0</v>
      </c>
      <c r="N44" s="3">
        <v>141</v>
      </c>
      <c r="O44" s="3">
        <v>121</v>
      </c>
      <c r="P44" s="4">
        <v>0.85815602836879401</v>
      </c>
      <c r="Q44" s="5">
        <v>7.3333333333333304</v>
      </c>
      <c r="R44" s="6">
        <v>9.9173553719008295E-2</v>
      </c>
      <c r="S44" s="6">
        <v>11.5619834710744</v>
      </c>
      <c r="T44" s="11">
        <v>121</v>
      </c>
      <c r="U44" s="3"/>
      <c r="V44" s="11">
        <v>0</v>
      </c>
    </row>
    <row r="45" spans="1:22" x14ac:dyDescent="0.35">
      <c r="A45" s="49" t="s">
        <v>362</v>
      </c>
      <c r="B45" s="32">
        <v>46032</v>
      </c>
      <c r="C45" s="3">
        <v>2092</v>
      </c>
      <c r="D45" s="1" t="s">
        <v>316</v>
      </c>
      <c r="E45" s="43" t="s">
        <v>253</v>
      </c>
      <c r="F45" s="3">
        <v>28</v>
      </c>
      <c r="G45" s="3">
        <v>0</v>
      </c>
      <c r="H45" s="3">
        <v>0</v>
      </c>
      <c r="I45" s="3">
        <v>2.5</v>
      </c>
      <c r="J45" s="3">
        <v>2.5</v>
      </c>
      <c r="K45" s="3">
        <v>17.5</v>
      </c>
      <c r="L45" s="3">
        <v>18</v>
      </c>
      <c r="M45" s="3">
        <v>0</v>
      </c>
      <c r="N45" s="3">
        <v>149</v>
      </c>
      <c r="O45" s="3">
        <v>144</v>
      </c>
      <c r="P45" s="4">
        <v>0.96644295302013405</v>
      </c>
      <c r="Q45" s="5">
        <v>8.8571428571428594</v>
      </c>
      <c r="R45" s="6">
        <v>1.98064516129032</v>
      </c>
      <c r="S45" s="6">
        <v>7.7082795698924702</v>
      </c>
      <c r="T45" s="11">
        <v>155</v>
      </c>
      <c r="U45" s="3"/>
      <c r="V45" s="70">
        <v>11</v>
      </c>
    </row>
    <row r="46" spans="1:22" x14ac:dyDescent="0.35">
      <c r="A46" s="49" t="s">
        <v>362</v>
      </c>
      <c r="B46" s="33" t="s">
        <v>174</v>
      </c>
      <c r="C46" s="17" t="s">
        <v>196</v>
      </c>
      <c r="D46" s="16" t="s">
        <v>34</v>
      </c>
      <c r="E46" s="38" t="s">
        <v>317</v>
      </c>
      <c r="F46" s="17">
        <v>28</v>
      </c>
      <c r="G46" s="17">
        <v>0</v>
      </c>
      <c r="H46" s="17">
        <v>0</v>
      </c>
      <c r="I46" s="17">
        <v>0</v>
      </c>
      <c r="J46" s="17">
        <v>0</v>
      </c>
      <c r="K46" s="17">
        <v>20</v>
      </c>
      <c r="L46" s="17">
        <v>13</v>
      </c>
      <c r="M46" s="17">
        <v>7</v>
      </c>
      <c r="N46" s="17">
        <v>533</v>
      </c>
      <c r="O46" s="17">
        <v>500</v>
      </c>
      <c r="P46" s="18">
        <v>0.93808630393996251</v>
      </c>
      <c r="Q46" s="19">
        <v>7.7488132557098055</v>
      </c>
      <c r="R46" s="19">
        <v>0.27673137292587707</v>
      </c>
      <c r="S46" s="19">
        <v>22.8989872580342</v>
      </c>
      <c r="T46" s="17">
        <v>501</v>
      </c>
      <c r="U46" s="17"/>
      <c r="V46" s="30"/>
    </row>
    <row r="47" spans="1:22" x14ac:dyDescent="0.35">
      <c r="A47" s="49" t="s">
        <v>362</v>
      </c>
      <c r="B47" s="32"/>
      <c r="C47" s="3"/>
      <c r="D47" s="9" t="s">
        <v>342</v>
      </c>
      <c r="E47" s="39" t="s">
        <v>318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4">
        <v>0</v>
      </c>
      <c r="Q47" s="5">
        <v>0</v>
      </c>
      <c r="R47" s="6">
        <v>0</v>
      </c>
      <c r="S47" s="6">
        <v>0</v>
      </c>
      <c r="T47" s="11">
        <v>0</v>
      </c>
      <c r="U47" s="3"/>
      <c r="V47" s="11">
        <v>0</v>
      </c>
    </row>
    <row r="48" spans="1:22" x14ac:dyDescent="0.35">
      <c r="A48" s="49" t="s">
        <v>362</v>
      </c>
      <c r="B48" s="32" t="s">
        <v>199</v>
      </c>
      <c r="C48" s="3" t="s">
        <v>200</v>
      </c>
      <c r="D48" s="2" t="s">
        <v>23</v>
      </c>
      <c r="E48" s="39" t="s">
        <v>319</v>
      </c>
      <c r="F48" s="3">
        <v>28</v>
      </c>
      <c r="G48" s="3">
        <v>0</v>
      </c>
      <c r="H48" s="3">
        <v>2</v>
      </c>
      <c r="I48" s="3">
        <v>0</v>
      </c>
      <c r="J48" s="3">
        <v>2</v>
      </c>
      <c r="K48" s="3">
        <v>18</v>
      </c>
      <c r="L48" s="3">
        <v>17</v>
      </c>
      <c r="M48" s="20">
        <v>1</v>
      </c>
      <c r="N48" s="3">
        <v>151</v>
      </c>
      <c r="O48" s="3">
        <v>126</v>
      </c>
      <c r="P48" s="4">
        <v>0.83443708609271505</v>
      </c>
      <c r="Q48" s="5">
        <v>7.2777777777777803</v>
      </c>
      <c r="R48" s="6">
        <v>1.9312977099236599</v>
      </c>
      <c r="S48" s="6">
        <v>13.690076335877899</v>
      </c>
      <c r="T48" s="11">
        <v>131</v>
      </c>
      <c r="U48" s="3"/>
      <c r="V48" s="70">
        <v>5</v>
      </c>
    </row>
    <row r="49" spans="1:22" x14ac:dyDescent="0.35">
      <c r="A49" s="49" t="s">
        <v>362</v>
      </c>
      <c r="B49" s="32"/>
      <c r="C49" s="3"/>
      <c r="D49" s="9" t="s">
        <v>343</v>
      </c>
      <c r="E49" s="39" t="s">
        <v>320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4">
        <v>0</v>
      </c>
      <c r="Q49" s="5">
        <v>0</v>
      </c>
      <c r="R49" s="6">
        <v>0</v>
      </c>
      <c r="S49" s="6">
        <v>0</v>
      </c>
      <c r="T49" s="11">
        <v>0</v>
      </c>
      <c r="U49" s="3"/>
      <c r="V49" s="11">
        <v>0</v>
      </c>
    </row>
    <row r="50" spans="1:22" x14ac:dyDescent="0.35">
      <c r="A50" s="49" t="s">
        <v>362</v>
      </c>
      <c r="B50" s="32" t="s">
        <v>201</v>
      </c>
      <c r="C50" s="3" t="s">
        <v>202</v>
      </c>
      <c r="D50" s="2" t="s">
        <v>99</v>
      </c>
      <c r="E50" s="39" t="s">
        <v>321</v>
      </c>
      <c r="F50" s="3">
        <v>28</v>
      </c>
      <c r="G50" s="3">
        <v>0</v>
      </c>
      <c r="H50" s="3">
        <v>1</v>
      </c>
      <c r="I50" s="3">
        <v>0</v>
      </c>
      <c r="J50" s="3">
        <v>1</v>
      </c>
      <c r="K50" s="3">
        <v>19</v>
      </c>
      <c r="L50" s="3">
        <v>16</v>
      </c>
      <c r="M50" s="20">
        <v>3</v>
      </c>
      <c r="N50" s="3">
        <v>156</v>
      </c>
      <c r="O50" s="3">
        <v>140</v>
      </c>
      <c r="P50" s="4">
        <v>0.89743589743589702</v>
      </c>
      <c r="Q50" s="5">
        <v>7.5789473684210504</v>
      </c>
      <c r="R50" s="6">
        <v>0</v>
      </c>
      <c r="S50" s="6">
        <v>7.4291666666666698</v>
      </c>
      <c r="T50" s="11">
        <v>144</v>
      </c>
      <c r="U50" s="3"/>
      <c r="V50" s="70">
        <v>4</v>
      </c>
    </row>
    <row r="51" spans="1:22" x14ac:dyDescent="0.35">
      <c r="A51" s="49" t="s">
        <v>362</v>
      </c>
      <c r="B51" s="32">
        <v>46066</v>
      </c>
      <c r="C51" s="3">
        <v>2132</v>
      </c>
      <c r="D51" s="1" t="s">
        <v>359</v>
      </c>
      <c r="E51" s="39" t="s">
        <v>322</v>
      </c>
      <c r="F51" s="3">
        <v>28</v>
      </c>
      <c r="G51" s="3">
        <v>0</v>
      </c>
      <c r="H51" s="3">
        <v>0</v>
      </c>
      <c r="I51" s="3">
        <v>0</v>
      </c>
      <c r="J51" s="3">
        <v>0</v>
      </c>
      <c r="K51" s="3">
        <v>20</v>
      </c>
      <c r="L51" s="3">
        <v>1</v>
      </c>
      <c r="M51" s="20">
        <v>19</v>
      </c>
      <c r="N51" s="3">
        <v>168</v>
      </c>
      <c r="O51" s="3">
        <v>5</v>
      </c>
      <c r="P51" s="4">
        <v>2.9761904761904798E-2</v>
      </c>
      <c r="Q51" s="5">
        <v>0.3</v>
      </c>
      <c r="R51" s="6">
        <v>0.33333333333333298</v>
      </c>
      <c r="S51" s="6">
        <v>3.6527777777777799</v>
      </c>
      <c r="T51" s="11">
        <v>6</v>
      </c>
      <c r="U51" s="3"/>
      <c r="V51" s="70">
        <v>1</v>
      </c>
    </row>
    <row r="52" spans="1:22" x14ac:dyDescent="0.35">
      <c r="A52" s="49" t="s">
        <v>362</v>
      </c>
      <c r="B52" s="32">
        <v>0</v>
      </c>
      <c r="C52" s="3">
        <v>0</v>
      </c>
      <c r="D52" s="9" t="s">
        <v>250</v>
      </c>
      <c r="E52" s="39" t="s">
        <v>323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4">
        <v>0</v>
      </c>
      <c r="Q52" s="5">
        <v>0</v>
      </c>
      <c r="R52" s="6">
        <v>0</v>
      </c>
      <c r="S52" s="6">
        <v>0</v>
      </c>
      <c r="T52" s="11">
        <v>0</v>
      </c>
      <c r="U52" s="3"/>
      <c r="V52" s="11">
        <v>0</v>
      </c>
    </row>
    <row r="53" spans="1:22" x14ac:dyDescent="0.35">
      <c r="A53" s="49" t="s">
        <v>362</v>
      </c>
      <c r="B53" s="41">
        <v>45444</v>
      </c>
      <c r="C53" s="42">
        <v>1187</v>
      </c>
      <c r="D53" s="42" t="s">
        <v>219</v>
      </c>
      <c r="E53" s="38" t="s">
        <v>324</v>
      </c>
      <c r="F53" s="17">
        <v>28</v>
      </c>
      <c r="G53" s="17">
        <v>0</v>
      </c>
      <c r="H53" s="17">
        <v>0</v>
      </c>
      <c r="I53" s="17">
        <v>0</v>
      </c>
      <c r="J53" s="17">
        <v>0</v>
      </c>
      <c r="K53" s="17">
        <v>20</v>
      </c>
      <c r="L53" s="17">
        <v>14</v>
      </c>
      <c r="M53" s="17">
        <v>6</v>
      </c>
      <c r="N53" s="17">
        <v>307</v>
      </c>
      <c r="O53" s="17">
        <v>266</v>
      </c>
      <c r="P53" s="18">
        <v>0.86644951140065152</v>
      </c>
      <c r="Q53" s="19">
        <v>7.4283625730994149</v>
      </c>
      <c r="R53" s="19">
        <v>0.96564885496182995</v>
      </c>
      <c r="S53" s="19">
        <v>10.559621501272284</v>
      </c>
      <c r="T53" s="17">
        <v>275</v>
      </c>
      <c r="U53" s="17"/>
      <c r="V53" s="30"/>
    </row>
    <row r="54" spans="1:22" x14ac:dyDescent="0.35">
      <c r="A54" s="49" t="s">
        <v>362</v>
      </c>
      <c r="B54" s="32">
        <v>46023</v>
      </c>
      <c r="C54" s="3">
        <v>2009</v>
      </c>
      <c r="D54" s="1" t="s">
        <v>330</v>
      </c>
      <c r="E54" s="39" t="s">
        <v>328</v>
      </c>
      <c r="F54" s="3">
        <v>28</v>
      </c>
      <c r="G54" s="3">
        <v>0</v>
      </c>
      <c r="H54" s="3">
        <v>1</v>
      </c>
      <c r="I54" s="3">
        <v>1.5</v>
      </c>
      <c r="J54" s="3">
        <v>2.5</v>
      </c>
      <c r="K54" s="3">
        <v>17.5</v>
      </c>
      <c r="L54" s="3">
        <v>18</v>
      </c>
      <c r="M54" s="3">
        <v>0</v>
      </c>
      <c r="N54" s="3">
        <v>213</v>
      </c>
      <c r="O54" s="3">
        <v>164</v>
      </c>
      <c r="P54" s="4">
        <v>0.76995305164319205</v>
      </c>
      <c r="Q54" s="5">
        <v>9.3714285714285701</v>
      </c>
      <c r="R54" s="6">
        <v>1.93292682926829</v>
      </c>
      <c r="S54" s="6">
        <v>5.33821138211382</v>
      </c>
      <c r="T54" s="11">
        <v>164</v>
      </c>
      <c r="U54" s="3"/>
      <c r="V54" s="11">
        <v>0</v>
      </c>
    </row>
    <row r="55" spans="1:22" x14ac:dyDescent="0.35">
      <c r="A55" s="49" t="s">
        <v>362</v>
      </c>
      <c r="B55" s="32" t="s">
        <v>236</v>
      </c>
      <c r="C55" s="3" t="s">
        <v>237</v>
      </c>
      <c r="D55" s="2" t="s">
        <v>238</v>
      </c>
      <c r="E55" s="39" t="s">
        <v>329</v>
      </c>
      <c r="F55" s="3">
        <v>28</v>
      </c>
      <c r="G55" s="3">
        <v>0</v>
      </c>
      <c r="H55" s="3">
        <v>1</v>
      </c>
      <c r="I55" s="3">
        <v>2.5</v>
      </c>
      <c r="J55" s="3">
        <v>3.5</v>
      </c>
      <c r="K55" s="3">
        <v>16.5</v>
      </c>
      <c r="L55" s="3">
        <v>18</v>
      </c>
      <c r="M55" s="3">
        <v>0</v>
      </c>
      <c r="N55" s="3">
        <v>192</v>
      </c>
      <c r="O55" s="3">
        <v>169</v>
      </c>
      <c r="P55" s="4">
        <v>0.88020833333333304</v>
      </c>
      <c r="Q55" s="5">
        <v>10.2424242424242</v>
      </c>
      <c r="R55" s="6">
        <v>1.0118343195266299</v>
      </c>
      <c r="S55" s="6">
        <v>19.618145956607499</v>
      </c>
      <c r="T55" s="11">
        <v>169</v>
      </c>
      <c r="U55" s="3"/>
      <c r="V55" s="11">
        <v>0</v>
      </c>
    </row>
    <row r="56" spans="1:22" x14ac:dyDescent="0.35">
      <c r="A56" s="49" t="s">
        <v>362</v>
      </c>
      <c r="B56" s="32"/>
      <c r="C56" s="3"/>
      <c r="D56" s="9" t="s">
        <v>344</v>
      </c>
      <c r="E56" s="39" t="s">
        <v>331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4">
        <v>0</v>
      </c>
      <c r="Q56" s="5">
        <v>0</v>
      </c>
      <c r="R56" s="6">
        <v>0</v>
      </c>
      <c r="S56" s="6">
        <v>0</v>
      </c>
      <c r="T56" s="11">
        <v>0</v>
      </c>
      <c r="U56" s="3"/>
      <c r="V56" s="11">
        <v>0</v>
      </c>
    </row>
    <row r="57" spans="1:22" x14ac:dyDescent="0.35">
      <c r="A57" s="49" t="s">
        <v>362</v>
      </c>
      <c r="B57" s="32" t="s">
        <v>210</v>
      </c>
      <c r="C57" s="3" t="s">
        <v>211</v>
      </c>
      <c r="D57" s="2" t="s">
        <v>36</v>
      </c>
      <c r="E57" s="39" t="s">
        <v>332</v>
      </c>
      <c r="F57" s="3">
        <v>28</v>
      </c>
      <c r="G57" s="3">
        <v>0</v>
      </c>
      <c r="H57" s="3">
        <v>2</v>
      </c>
      <c r="I57" s="3">
        <v>2.5</v>
      </c>
      <c r="J57" s="3">
        <v>4.5</v>
      </c>
      <c r="K57" s="3">
        <v>15.5</v>
      </c>
      <c r="L57" s="3">
        <v>17</v>
      </c>
      <c r="M57" s="3">
        <v>0</v>
      </c>
      <c r="N57" s="3">
        <v>172</v>
      </c>
      <c r="O57" s="3">
        <v>170</v>
      </c>
      <c r="P57" s="4">
        <v>0.98837209302325602</v>
      </c>
      <c r="Q57" s="5">
        <v>10.9677419354839</v>
      </c>
      <c r="R57" s="6">
        <v>1.9294117647058799</v>
      </c>
      <c r="S57" s="6">
        <v>22.1271568627451</v>
      </c>
      <c r="T57" s="11">
        <v>170</v>
      </c>
      <c r="U57" s="3"/>
      <c r="V57" s="11">
        <v>0</v>
      </c>
    </row>
    <row r="58" spans="1:22" x14ac:dyDescent="0.35">
      <c r="A58" s="49" t="s">
        <v>362</v>
      </c>
      <c r="B58" s="32">
        <v>46023</v>
      </c>
      <c r="C58" s="3">
        <v>2010</v>
      </c>
      <c r="D58" s="1" t="s">
        <v>327</v>
      </c>
      <c r="E58" s="39" t="s">
        <v>326</v>
      </c>
      <c r="F58" s="3">
        <v>28</v>
      </c>
      <c r="G58" s="3">
        <v>0</v>
      </c>
      <c r="H58" s="3">
        <v>0</v>
      </c>
      <c r="I58" s="3">
        <v>0.5</v>
      </c>
      <c r="J58" s="3">
        <v>0.5</v>
      </c>
      <c r="K58" s="3">
        <v>19.5</v>
      </c>
      <c r="L58" s="3">
        <v>18</v>
      </c>
      <c r="M58" s="20">
        <v>1.5</v>
      </c>
      <c r="N58" s="3">
        <v>256</v>
      </c>
      <c r="O58" s="3">
        <v>131</v>
      </c>
      <c r="P58" s="4">
        <v>0.51171875</v>
      </c>
      <c r="Q58" s="5">
        <v>7.5384615384615401</v>
      </c>
      <c r="R58" s="6">
        <v>0.80272108843537404</v>
      </c>
      <c r="S58" s="6">
        <v>3.8502267573696098</v>
      </c>
      <c r="T58" s="11">
        <v>147</v>
      </c>
      <c r="U58" s="3"/>
      <c r="V58" s="70">
        <v>16</v>
      </c>
    </row>
    <row r="59" spans="1:22" x14ac:dyDescent="0.35">
      <c r="A59" s="49" t="s">
        <v>362</v>
      </c>
      <c r="B59" s="32" t="s">
        <v>174</v>
      </c>
      <c r="C59" s="3" t="s">
        <v>204</v>
      </c>
      <c r="D59" s="2" t="s">
        <v>20</v>
      </c>
      <c r="E59" s="39" t="s">
        <v>325</v>
      </c>
      <c r="F59" s="3">
        <v>28</v>
      </c>
      <c r="G59" s="3">
        <v>0</v>
      </c>
      <c r="H59" s="3">
        <v>2</v>
      </c>
      <c r="I59" s="3">
        <v>1.5</v>
      </c>
      <c r="J59" s="3">
        <v>3.5</v>
      </c>
      <c r="K59" s="3">
        <v>16.5</v>
      </c>
      <c r="L59" s="3">
        <v>17</v>
      </c>
      <c r="M59" s="3">
        <v>0</v>
      </c>
      <c r="N59" s="3">
        <v>184</v>
      </c>
      <c r="O59" s="3">
        <v>161</v>
      </c>
      <c r="P59" s="4">
        <v>0.875</v>
      </c>
      <c r="Q59" s="5">
        <v>9.7575757575757596</v>
      </c>
      <c r="R59" s="6">
        <v>0</v>
      </c>
      <c r="S59" s="6">
        <v>8.6108695652173903</v>
      </c>
      <c r="T59" s="11">
        <v>161</v>
      </c>
      <c r="U59" s="3"/>
      <c r="V59" s="11">
        <v>0</v>
      </c>
    </row>
    <row r="60" spans="1:22" x14ac:dyDescent="0.35">
      <c r="A60" s="49" t="s">
        <v>362</v>
      </c>
      <c r="B60" s="33"/>
      <c r="C60" s="17"/>
      <c r="D60" s="27" t="s">
        <v>367</v>
      </c>
      <c r="E60" s="38" t="s">
        <v>333</v>
      </c>
      <c r="F60" s="17">
        <v>28</v>
      </c>
      <c r="G60" s="17">
        <v>0</v>
      </c>
      <c r="H60" s="17">
        <v>0</v>
      </c>
      <c r="I60" s="17">
        <v>0</v>
      </c>
      <c r="J60" s="17">
        <v>0</v>
      </c>
      <c r="K60" s="17">
        <v>20</v>
      </c>
      <c r="L60" s="17">
        <v>0</v>
      </c>
      <c r="M60" s="17">
        <v>20</v>
      </c>
      <c r="N60" s="17">
        <v>548</v>
      </c>
      <c r="O60" s="17">
        <v>500</v>
      </c>
      <c r="P60" s="18">
        <v>0.91240875912408759</v>
      </c>
      <c r="Q60" s="19">
        <v>10.322580645161286</v>
      </c>
      <c r="R60" s="19">
        <v>0.98041536141083663</v>
      </c>
      <c r="S60" s="19">
        <v>16.785390794856664</v>
      </c>
      <c r="T60" s="17">
        <v>500</v>
      </c>
      <c r="U60" s="17"/>
      <c r="V60" s="30"/>
    </row>
    <row r="61" spans="1:22" x14ac:dyDescent="0.35">
      <c r="A61" s="49" t="s">
        <v>362</v>
      </c>
      <c r="B61" s="32" t="s">
        <v>239</v>
      </c>
      <c r="C61" s="3" t="s">
        <v>240</v>
      </c>
      <c r="D61" s="2" t="s">
        <v>241</v>
      </c>
      <c r="E61" s="39" t="s">
        <v>336</v>
      </c>
      <c r="F61" s="3">
        <v>28</v>
      </c>
      <c r="G61" s="3">
        <v>0</v>
      </c>
      <c r="H61" s="3">
        <v>0</v>
      </c>
      <c r="I61" s="3">
        <v>1.5</v>
      </c>
      <c r="J61" s="3">
        <v>1.5</v>
      </c>
      <c r="K61" s="3">
        <v>18.5</v>
      </c>
      <c r="L61" s="3">
        <v>17</v>
      </c>
      <c r="M61" s="20">
        <v>1.5</v>
      </c>
      <c r="N61" s="3">
        <v>201</v>
      </c>
      <c r="O61" s="3">
        <v>172</v>
      </c>
      <c r="P61" s="4">
        <v>0.85572139303482597</v>
      </c>
      <c r="Q61" s="5">
        <v>9.3513513513513509</v>
      </c>
      <c r="R61" s="6">
        <v>0</v>
      </c>
      <c r="S61" s="6">
        <v>49.7766859344894</v>
      </c>
      <c r="T61" s="11">
        <v>173</v>
      </c>
      <c r="U61" s="3"/>
      <c r="V61" s="70">
        <v>1</v>
      </c>
    </row>
    <row r="62" spans="1:22" x14ac:dyDescent="0.35">
      <c r="A62" s="49" t="s">
        <v>362</v>
      </c>
      <c r="B62" s="32">
        <v>46060</v>
      </c>
      <c r="C62" s="3">
        <v>2130</v>
      </c>
      <c r="D62" s="1" t="s">
        <v>360</v>
      </c>
      <c r="E62" s="39" t="s">
        <v>337</v>
      </c>
      <c r="F62" s="3">
        <v>28</v>
      </c>
      <c r="G62" s="3">
        <v>0</v>
      </c>
      <c r="H62" s="3">
        <v>0</v>
      </c>
      <c r="I62" s="3">
        <v>0</v>
      </c>
      <c r="J62" s="3">
        <v>0</v>
      </c>
      <c r="K62" s="3">
        <v>20</v>
      </c>
      <c r="L62" s="3">
        <v>5</v>
      </c>
      <c r="M62" s="20">
        <v>15</v>
      </c>
      <c r="N62" s="3">
        <v>194</v>
      </c>
      <c r="O62" s="3">
        <v>34</v>
      </c>
      <c r="P62" s="4">
        <v>0.17525773195876301</v>
      </c>
      <c r="Q62" s="5">
        <v>1.75</v>
      </c>
      <c r="R62" s="6">
        <v>0</v>
      </c>
      <c r="S62" s="6">
        <v>5.4361904761904798</v>
      </c>
      <c r="T62" s="11">
        <v>35</v>
      </c>
      <c r="U62" s="3"/>
      <c r="V62" s="11">
        <v>1</v>
      </c>
    </row>
    <row r="63" spans="1:22" x14ac:dyDescent="0.35">
      <c r="A63" s="49" t="s">
        <v>362</v>
      </c>
      <c r="B63" s="32" t="s">
        <v>144</v>
      </c>
      <c r="C63" s="3" t="s">
        <v>213</v>
      </c>
      <c r="D63" s="31" t="s">
        <v>111</v>
      </c>
      <c r="E63" s="39" t="s">
        <v>334</v>
      </c>
      <c r="F63" s="3">
        <v>28</v>
      </c>
      <c r="G63" s="3">
        <v>0</v>
      </c>
      <c r="H63" s="3">
        <v>0</v>
      </c>
      <c r="I63" s="3">
        <v>0.5</v>
      </c>
      <c r="J63" s="3">
        <v>0.5</v>
      </c>
      <c r="K63" s="3">
        <v>19.5</v>
      </c>
      <c r="L63" s="3">
        <v>20</v>
      </c>
      <c r="M63" s="3">
        <v>0</v>
      </c>
      <c r="N63" s="3">
        <v>204</v>
      </c>
      <c r="O63" s="3">
        <v>172</v>
      </c>
      <c r="P63" s="4">
        <v>0.84313725490196101</v>
      </c>
      <c r="Q63" s="5">
        <v>8.8205128205128194</v>
      </c>
      <c r="R63" s="6">
        <v>5.8139534883720903E-3</v>
      </c>
      <c r="S63" s="6">
        <v>32.028391472868201</v>
      </c>
      <c r="T63" s="11">
        <v>172</v>
      </c>
      <c r="U63" s="40"/>
      <c r="V63" s="11">
        <v>0</v>
      </c>
    </row>
    <row r="64" spans="1:22" x14ac:dyDescent="0.35">
      <c r="A64" s="49" t="s">
        <v>362</v>
      </c>
      <c r="B64" s="32">
        <v>46025</v>
      </c>
      <c r="C64" s="3">
        <v>2022</v>
      </c>
      <c r="D64" s="1" t="s">
        <v>345</v>
      </c>
      <c r="E64" s="39" t="s">
        <v>335</v>
      </c>
      <c r="F64" s="3">
        <v>28</v>
      </c>
      <c r="G64" s="3">
        <v>0</v>
      </c>
      <c r="H64" s="3">
        <v>0</v>
      </c>
      <c r="I64" s="3">
        <v>1.5</v>
      </c>
      <c r="J64" s="3">
        <v>1.5</v>
      </c>
      <c r="K64" s="3">
        <v>18.5</v>
      </c>
      <c r="L64" s="3">
        <v>16</v>
      </c>
      <c r="M64" s="20">
        <v>2.5</v>
      </c>
      <c r="N64" s="3">
        <v>201</v>
      </c>
      <c r="O64" s="3">
        <v>122</v>
      </c>
      <c r="P64" s="4">
        <v>0.60696517412935302</v>
      </c>
      <c r="Q64" s="5">
        <v>6.5945945945945903</v>
      </c>
      <c r="R64" s="6">
        <v>1.63934426229508E-2</v>
      </c>
      <c r="S64" s="6">
        <v>9.6163934426229503</v>
      </c>
      <c r="T64" s="11">
        <v>122</v>
      </c>
      <c r="U64" s="40"/>
      <c r="V64" s="11">
        <v>0</v>
      </c>
    </row>
    <row r="65" spans="1:22" x14ac:dyDescent="0.35">
      <c r="A65" s="49" t="s">
        <v>362</v>
      </c>
      <c r="B65" s="32" t="s">
        <v>144</v>
      </c>
      <c r="C65" s="3" t="s">
        <v>215</v>
      </c>
      <c r="D65" s="2" t="s">
        <v>113</v>
      </c>
      <c r="E65" s="39" t="s">
        <v>338</v>
      </c>
      <c r="F65" s="3">
        <v>28</v>
      </c>
      <c r="G65" s="3">
        <v>0</v>
      </c>
      <c r="H65" s="3">
        <v>0</v>
      </c>
      <c r="I65" s="3">
        <v>2</v>
      </c>
      <c r="J65" s="3">
        <v>2</v>
      </c>
      <c r="K65" s="3">
        <v>18</v>
      </c>
      <c r="L65" s="3">
        <v>17</v>
      </c>
      <c r="M65" s="20">
        <v>1</v>
      </c>
      <c r="N65" s="3">
        <v>210</v>
      </c>
      <c r="O65" s="3">
        <v>157</v>
      </c>
      <c r="P65" s="4">
        <v>0.74761904761904796</v>
      </c>
      <c r="Q65" s="5">
        <v>8.7222222222222197</v>
      </c>
      <c r="R65" s="6">
        <v>1.45859872611465</v>
      </c>
      <c r="S65" s="6">
        <v>20.741507430997899</v>
      </c>
      <c r="T65" s="11">
        <v>157</v>
      </c>
      <c r="U65" s="40"/>
      <c r="V65" s="11">
        <v>0</v>
      </c>
    </row>
    <row r="66" spans="1:22" x14ac:dyDescent="0.35">
      <c r="A66" s="49" t="s">
        <v>362</v>
      </c>
      <c r="B66" s="33">
        <v>44047</v>
      </c>
      <c r="C66" s="17">
        <v>210</v>
      </c>
      <c r="D66" s="16" t="s">
        <v>40</v>
      </c>
      <c r="E66" s="35" t="s">
        <v>339</v>
      </c>
      <c r="F66" s="17">
        <v>28</v>
      </c>
      <c r="G66" s="17">
        <v>0</v>
      </c>
      <c r="H66" s="17">
        <v>0</v>
      </c>
      <c r="I66" s="17">
        <v>0</v>
      </c>
      <c r="J66" s="17">
        <v>0</v>
      </c>
      <c r="K66" s="17">
        <v>20</v>
      </c>
      <c r="L66" s="17">
        <v>12</v>
      </c>
      <c r="M66" s="17">
        <v>8</v>
      </c>
      <c r="N66" s="17">
        <v>411</v>
      </c>
      <c r="O66" s="17">
        <v>329</v>
      </c>
      <c r="P66" s="18">
        <v>0.8004866180048662</v>
      </c>
      <c r="Q66" s="19">
        <v>9.0367867867867844</v>
      </c>
      <c r="R66" s="19">
        <v>0.72929936305732501</v>
      </c>
      <c r="S66" s="19">
        <v>35.259096682743646</v>
      </c>
      <c r="T66" s="17">
        <v>330</v>
      </c>
      <c r="U66" s="17"/>
      <c r="V66" s="30"/>
    </row>
    <row r="67" spans="1:22" x14ac:dyDescent="0.35">
      <c r="A67" s="49" t="s">
        <v>362</v>
      </c>
      <c r="B67" s="44" t="s">
        <v>217</v>
      </c>
      <c r="C67" s="45" t="s">
        <v>218</v>
      </c>
      <c r="D67" s="15" t="s">
        <v>132</v>
      </c>
      <c r="E67" s="28" t="s">
        <v>133</v>
      </c>
      <c r="F67" s="45">
        <v>28</v>
      </c>
      <c r="G67" s="45">
        <v>0</v>
      </c>
      <c r="H67" s="45">
        <v>0</v>
      </c>
      <c r="I67" s="45">
        <v>0</v>
      </c>
      <c r="J67" s="45">
        <v>0</v>
      </c>
      <c r="K67" s="45">
        <v>20</v>
      </c>
      <c r="L67" s="45">
        <v>6</v>
      </c>
      <c r="M67" s="45">
        <v>14</v>
      </c>
      <c r="N67" s="45">
        <v>4194</v>
      </c>
      <c r="O67" s="45">
        <v>3388</v>
      </c>
      <c r="P67" s="25">
        <v>0.80782069623271335</v>
      </c>
      <c r="Q67" s="46">
        <v>8.0492238110727214</v>
      </c>
      <c r="R67" s="46">
        <v>0.47451574741386932</v>
      </c>
      <c r="S67" s="46">
        <v>17.534122486904643</v>
      </c>
      <c r="T67" s="45">
        <v>2654</v>
      </c>
      <c r="U67" s="45"/>
      <c r="V67" s="47"/>
    </row>
  </sheetData>
  <mergeCells count="22">
    <mergeCell ref="A1:A2"/>
    <mergeCell ref="T1:T2"/>
    <mergeCell ref="U1:U2"/>
    <mergeCell ref="V1:V2"/>
    <mergeCell ref="N1:N2"/>
    <mergeCell ref="O1:O2"/>
    <mergeCell ref="P1:P2"/>
    <mergeCell ref="Q1:Q2"/>
    <mergeCell ref="R1:R2"/>
    <mergeCell ref="S1:S2"/>
    <mergeCell ref="M1:M2"/>
    <mergeCell ref="B1:B2"/>
    <mergeCell ref="C1:C2"/>
    <mergeCell ref="D1:D2"/>
    <mergeCell ref="E1:E2"/>
    <mergeCell ref="F1:F2"/>
    <mergeCell ref="L1:L2"/>
    <mergeCell ref="G1:G2"/>
    <mergeCell ref="H1:H2"/>
    <mergeCell ref="I1:I2"/>
    <mergeCell ref="J1:J2"/>
    <mergeCell ref="K1:K2"/>
  </mergeCells>
  <conditionalFormatting sqref="P1:P5 P7 P9 P13 P16:P17 P21 P24:P25 P27:P28 P36 P39 P41 P43:P44 P48 P50 P55 P57 P59 P61 P65">
    <cfRule type="cellIs" dxfId="3" priority="1" operator="lessThan">
      <formula>0.85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A7CE-EFCC-44F8-A3EA-0C2D81F5F609}">
  <dimension ref="A1:AC50"/>
  <sheetViews>
    <sheetView zoomScale="60" zoomScaleNormal="60" workbookViewId="0">
      <selection activeCell="G16" sqref="G16"/>
    </sheetView>
  </sheetViews>
  <sheetFormatPr defaultRowHeight="14.5" x14ac:dyDescent="0.35"/>
  <cols>
    <col min="1" max="1" width="10.7265625" style="49" bestFit="1" customWidth="1"/>
    <col min="2" max="2" width="16.36328125" style="49" bestFit="1" customWidth="1"/>
    <col min="3" max="3" width="13.36328125" style="49" bestFit="1" customWidth="1"/>
    <col min="4" max="4" width="16.36328125" style="34" bestFit="1" customWidth="1"/>
    <col min="5" max="5" width="11.54296875" bestFit="1" customWidth="1"/>
    <col min="6" max="6" width="44.90625" bestFit="1" customWidth="1"/>
    <col min="7" max="8" width="44.90625" style="54" customWidth="1"/>
    <col min="9" max="9" width="42" bestFit="1" customWidth="1"/>
    <col min="10" max="10" width="35.6328125" bestFit="1" customWidth="1"/>
    <col min="11" max="11" width="37.36328125" bestFit="1" customWidth="1"/>
    <col min="12" max="12" width="28.90625" style="29" bestFit="1" customWidth="1"/>
    <col min="13" max="13" width="18.81640625" style="7" bestFit="1" customWidth="1"/>
    <col min="14" max="14" width="14.26953125" style="7" bestFit="1" customWidth="1"/>
    <col min="15" max="15" width="16.1796875" style="7" bestFit="1" customWidth="1"/>
    <col min="16" max="16" width="17.6328125" style="7" bestFit="1" customWidth="1"/>
    <col min="17" max="17" width="29.1796875" style="7" bestFit="1" customWidth="1"/>
    <col min="18" max="18" width="23.7265625" style="7" bestFit="1" customWidth="1"/>
    <col min="19" max="19" width="17.7265625" style="7" bestFit="1" customWidth="1"/>
    <col min="20" max="20" width="22.81640625" style="7" bestFit="1" customWidth="1"/>
    <col min="21" max="21" width="17.26953125" style="7" bestFit="1" customWidth="1"/>
    <col min="22" max="22" width="22.1796875" style="7" bestFit="1" customWidth="1"/>
    <col min="23" max="23" width="30.7265625" style="26" bestFit="1" customWidth="1"/>
    <col min="24" max="24" width="38.90625" style="7" bestFit="1" customWidth="1"/>
    <col min="25" max="25" width="18.36328125" style="7" bestFit="1" customWidth="1"/>
    <col min="26" max="26" width="25.6328125" style="7" bestFit="1" customWidth="1"/>
    <col min="27" max="27" width="17.26953125" style="12" bestFit="1" customWidth="1"/>
    <col min="28" max="28" width="26.08984375" bestFit="1" customWidth="1"/>
    <col min="29" max="29" width="25.90625" bestFit="1" customWidth="1"/>
  </cols>
  <sheetData>
    <row r="1" spans="1:29" ht="14.5" customHeight="1" x14ac:dyDescent="0.35">
      <c r="A1" s="66" t="s">
        <v>361</v>
      </c>
      <c r="B1" s="62" t="s">
        <v>370</v>
      </c>
      <c r="C1" s="62" t="s">
        <v>371</v>
      </c>
      <c r="D1" s="66" t="s">
        <v>138</v>
      </c>
      <c r="E1" s="67" t="s">
        <v>139</v>
      </c>
      <c r="F1" s="68" t="s">
        <v>118</v>
      </c>
      <c r="G1" s="67" t="s">
        <v>374</v>
      </c>
      <c r="H1" s="67" t="s">
        <v>375</v>
      </c>
      <c r="I1" s="62" t="s">
        <v>368</v>
      </c>
      <c r="J1" s="62" t="s">
        <v>133</v>
      </c>
      <c r="K1" s="62" t="s">
        <v>369</v>
      </c>
      <c r="L1" s="69" t="s">
        <v>1</v>
      </c>
      <c r="M1" s="61" t="s">
        <v>2</v>
      </c>
      <c r="N1" s="61" t="s">
        <v>3</v>
      </c>
      <c r="O1" s="61" t="s">
        <v>4</v>
      </c>
      <c r="P1" s="61" t="s">
        <v>5</v>
      </c>
      <c r="Q1" s="61" t="s">
        <v>6</v>
      </c>
      <c r="R1" s="61" t="s">
        <v>7</v>
      </c>
      <c r="S1" s="61" t="s">
        <v>225</v>
      </c>
      <c r="T1" s="61" t="s">
        <v>9</v>
      </c>
      <c r="U1" s="61" t="s">
        <v>10</v>
      </c>
      <c r="V1" s="61" t="s">
        <v>122</v>
      </c>
      <c r="W1" s="58" t="s">
        <v>12</v>
      </c>
      <c r="X1" s="61" t="s">
        <v>13</v>
      </c>
      <c r="Y1" s="61" t="s">
        <v>14</v>
      </c>
      <c r="Z1" s="61" t="s">
        <v>15</v>
      </c>
      <c r="AA1" s="57" t="s">
        <v>11</v>
      </c>
      <c r="AB1" s="57" t="s">
        <v>134</v>
      </c>
      <c r="AC1" s="57" t="s">
        <v>135</v>
      </c>
    </row>
    <row r="2" spans="1:29" ht="31.5" customHeight="1" x14ac:dyDescent="0.35">
      <c r="A2" s="66"/>
      <c r="B2" s="63"/>
      <c r="C2" s="63"/>
      <c r="D2" s="66"/>
      <c r="E2" s="67"/>
      <c r="F2" s="68"/>
      <c r="G2" s="67"/>
      <c r="H2" s="67"/>
      <c r="I2" s="63"/>
      <c r="J2" s="63"/>
      <c r="K2" s="63"/>
      <c r="L2" s="69"/>
      <c r="M2" s="61"/>
      <c r="N2" s="61"/>
      <c r="O2" s="61"/>
      <c r="P2" s="61"/>
      <c r="Q2" s="61"/>
      <c r="R2" s="61"/>
      <c r="S2" s="61"/>
      <c r="T2" s="61"/>
      <c r="U2" s="61"/>
      <c r="V2" s="61"/>
      <c r="W2" s="58"/>
      <c r="X2" s="61"/>
      <c r="Y2" s="61"/>
      <c r="Z2" s="61"/>
      <c r="AA2" s="57"/>
      <c r="AB2" s="57"/>
      <c r="AC2" s="57"/>
    </row>
    <row r="3" spans="1:29" ht="15.5" x14ac:dyDescent="0.35">
      <c r="A3" s="49" t="s">
        <v>362</v>
      </c>
      <c r="B3" s="56">
        <f ca="1">DATEDIF(D3,TODAY(),"M")</f>
        <v>7</v>
      </c>
      <c r="C3" s="49" t="s">
        <v>373</v>
      </c>
      <c r="D3" s="32" t="s">
        <v>229</v>
      </c>
      <c r="E3" s="3">
        <v>1707</v>
      </c>
      <c r="F3" s="2" t="s">
        <v>223</v>
      </c>
      <c r="G3" s="3">
        <f>U3</f>
        <v>173</v>
      </c>
      <c r="H3" s="3">
        <f>V3</f>
        <v>169</v>
      </c>
      <c r="I3" s="16" t="s">
        <v>131</v>
      </c>
      <c r="J3" s="15" t="s">
        <v>132</v>
      </c>
      <c r="K3" s="50" t="s">
        <v>351</v>
      </c>
      <c r="L3" s="36" t="s">
        <v>258</v>
      </c>
      <c r="M3" s="3">
        <v>28</v>
      </c>
      <c r="N3" s="3">
        <v>0</v>
      </c>
      <c r="O3" s="3">
        <v>1</v>
      </c>
      <c r="P3" s="3">
        <v>2</v>
      </c>
      <c r="Q3" s="3">
        <v>3</v>
      </c>
      <c r="R3" s="3">
        <v>17</v>
      </c>
      <c r="S3" s="3">
        <v>18</v>
      </c>
      <c r="T3" s="3">
        <v>0</v>
      </c>
      <c r="U3" s="3">
        <v>173</v>
      </c>
      <c r="V3" s="3">
        <v>169</v>
      </c>
      <c r="W3" s="4">
        <v>0.97687861271676302</v>
      </c>
      <c r="X3" s="5">
        <v>9.9411764705882408</v>
      </c>
      <c r="Y3" s="6">
        <v>0</v>
      </c>
      <c r="Z3" s="6">
        <v>3.4624260355029599</v>
      </c>
      <c r="AA3" s="11">
        <v>169</v>
      </c>
      <c r="AB3" s="3"/>
      <c r="AC3" s="11">
        <v>0</v>
      </c>
    </row>
    <row r="4" spans="1:29" ht="15.5" x14ac:dyDescent="0.35">
      <c r="A4" s="49" t="s">
        <v>362</v>
      </c>
      <c r="B4" s="49">
        <f t="shared" ref="B4:B50" ca="1" si="0">DATEDIF(D4,TODAY(),"M")</f>
        <v>20</v>
      </c>
      <c r="C4" s="49" t="s">
        <v>373</v>
      </c>
      <c r="D4" s="32" t="s">
        <v>140</v>
      </c>
      <c r="E4" s="3" t="s">
        <v>141</v>
      </c>
      <c r="F4" s="2" t="s">
        <v>121</v>
      </c>
      <c r="G4" s="3">
        <f t="shared" ref="G4:G5" si="1">U4</f>
        <v>176</v>
      </c>
      <c r="H4" s="3">
        <f t="shared" ref="H4:H5" si="2">V4</f>
        <v>155</v>
      </c>
      <c r="I4" s="16" t="s">
        <v>131</v>
      </c>
      <c r="J4" s="15" t="s">
        <v>132</v>
      </c>
      <c r="K4" s="50" t="s">
        <v>351</v>
      </c>
      <c r="L4" s="36" t="s">
        <v>259</v>
      </c>
      <c r="M4" s="3">
        <v>28</v>
      </c>
      <c r="N4" s="3">
        <v>0</v>
      </c>
      <c r="O4" s="3">
        <v>3</v>
      </c>
      <c r="P4" s="3">
        <v>1.5</v>
      </c>
      <c r="Q4" s="3">
        <v>4.5</v>
      </c>
      <c r="R4" s="3">
        <v>15.5</v>
      </c>
      <c r="S4" s="3">
        <v>16</v>
      </c>
      <c r="T4" s="3">
        <v>0</v>
      </c>
      <c r="U4" s="3">
        <v>176</v>
      </c>
      <c r="V4" s="3">
        <v>155</v>
      </c>
      <c r="W4" s="4">
        <v>0.88068181818181801</v>
      </c>
      <c r="X4" s="5">
        <v>10.3870967741935</v>
      </c>
      <c r="Y4" s="6">
        <v>1.2422360248447201E-2</v>
      </c>
      <c r="Z4" s="6">
        <v>18.500724637681198</v>
      </c>
      <c r="AA4" s="11">
        <v>161</v>
      </c>
      <c r="AB4" s="3"/>
      <c r="AC4" s="11">
        <v>6</v>
      </c>
    </row>
    <row r="5" spans="1:29" ht="15.5" x14ac:dyDescent="0.35">
      <c r="A5" s="49" t="s">
        <v>362</v>
      </c>
      <c r="B5" s="49">
        <f t="shared" ca="1" si="0"/>
        <v>15</v>
      </c>
      <c r="C5" s="49" t="s">
        <v>373</v>
      </c>
      <c r="D5" s="32" t="s">
        <v>142</v>
      </c>
      <c r="E5" s="3" t="s">
        <v>143</v>
      </c>
      <c r="F5" s="2" t="s">
        <v>130</v>
      </c>
      <c r="G5" s="3">
        <f t="shared" si="1"/>
        <v>161</v>
      </c>
      <c r="H5" s="3">
        <f t="shared" si="2"/>
        <v>158</v>
      </c>
      <c r="I5" s="16" t="s">
        <v>131</v>
      </c>
      <c r="J5" s="15" t="s">
        <v>132</v>
      </c>
      <c r="K5" s="50" t="s">
        <v>351</v>
      </c>
      <c r="L5" s="36" t="s">
        <v>260</v>
      </c>
      <c r="M5" s="3">
        <v>28</v>
      </c>
      <c r="N5" s="3">
        <v>0</v>
      </c>
      <c r="O5" s="3">
        <v>1</v>
      </c>
      <c r="P5" s="3">
        <v>1.5</v>
      </c>
      <c r="Q5" s="3">
        <v>2.5</v>
      </c>
      <c r="R5" s="3">
        <v>17.5</v>
      </c>
      <c r="S5" s="3">
        <v>18</v>
      </c>
      <c r="T5" s="3">
        <v>0</v>
      </c>
      <c r="U5" s="3">
        <v>161</v>
      </c>
      <c r="V5" s="3">
        <v>158</v>
      </c>
      <c r="W5" s="4">
        <v>0.98136645962732905</v>
      </c>
      <c r="X5" s="5">
        <v>9.0285714285714302</v>
      </c>
      <c r="Y5" s="6">
        <v>1.90506329113924</v>
      </c>
      <c r="Z5" s="6">
        <v>3.89040084388186</v>
      </c>
      <c r="AA5" s="11">
        <v>158</v>
      </c>
      <c r="AB5" s="3"/>
      <c r="AC5" s="11">
        <v>0</v>
      </c>
    </row>
    <row r="6" spans="1:29" ht="15.5" x14ac:dyDescent="0.35">
      <c r="A6" s="49" t="s">
        <v>362</v>
      </c>
      <c r="B6" s="49">
        <f t="shared" ca="1" si="0"/>
        <v>2</v>
      </c>
      <c r="C6" s="49" t="s">
        <v>372</v>
      </c>
      <c r="D6" s="32">
        <v>46025</v>
      </c>
      <c r="E6" s="3">
        <v>2008</v>
      </c>
      <c r="F6" s="1" t="s">
        <v>262</v>
      </c>
      <c r="G6" s="51">
        <v>0</v>
      </c>
      <c r="H6" s="51">
        <v>0</v>
      </c>
      <c r="I6" s="16" t="s">
        <v>131</v>
      </c>
      <c r="J6" s="15" t="s">
        <v>132</v>
      </c>
      <c r="K6" s="50" t="s">
        <v>351</v>
      </c>
      <c r="L6" s="36" t="s">
        <v>261</v>
      </c>
      <c r="M6" s="3">
        <v>28</v>
      </c>
      <c r="N6" s="3">
        <v>0</v>
      </c>
      <c r="O6" s="3">
        <v>3</v>
      </c>
      <c r="P6" s="3">
        <v>1</v>
      </c>
      <c r="Q6" s="3">
        <v>4</v>
      </c>
      <c r="R6" s="3">
        <v>16</v>
      </c>
      <c r="S6" s="3">
        <v>16</v>
      </c>
      <c r="T6" s="3">
        <v>0</v>
      </c>
      <c r="U6" s="3">
        <v>197</v>
      </c>
      <c r="V6" s="3">
        <v>123</v>
      </c>
      <c r="W6" s="4">
        <v>0.62436548223350297</v>
      </c>
      <c r="X6" s="5">
        <v>8.375</v>
      </c>
      <c r="Y6" s="6">
        <v>0</v>
      </c>
      <c r="Z6" s="6">
        <v>3.6572139303482598</v>
      </c>
      <c r="AA6" s="11">
        <v>134</v>
      </c>
      <c r="AB6" s="3"/>
      <c r="AC6" s="11">
        <v>11</v>
      </c>
    </row>
    <row r="7" spans="1:29" ht="15.5" x14ac:dyDescent="0.35">
      <c r="A7" s="49" t="s">
        <v>362</v>
      </c>
      <c r="B7" s="49">
        <f t="shared" ca="1" si="0"/>
        <v>18</v>
      </c>
      <c r="C7" s="49" t="s">
        <v>373</v>
      </c>
      <c r="D7" s="32" t="s">
        <v>146</v>
      </c>
      <c r="E7" s="3" t="s">
        <v>147</v>
      </c>
      <c r="F7" s="2" t="s">
        <v>124</v>
      </c>
      <c r="G7" s="3">
        <f t="shared" ref="G7:G8" si="3">U7</f>
        <v>191</v>
      </c>
      <c r="H7" s="3">
        <f t="shared" ref="H7:H8" si="4">V7</f>
        <v>154</v>
      </c>
      <c r="I7" s="16" t="s">
        <v>131</v>
      </c>
      <c r="J7" s="15" t="s">
        <v>132</v>
      </c>
      <c r="K7" s="50" t="s">
        <v>351</v>
      </c>
      <c r="L7" s="36" t="s">
        <v>263</v>
      </c>
      <c r="M7" s="3">
        <v>28</v>
      </c>
      <c r="N7" s="3">
        <v>0</v>
      </c>
      <c r="O7" s="3">
        <v>2</v>
      </c>
      <c r="P7" s="3">
        <v>2</v>
      </c>
      <c r="Q7" s="3">
        <v>4</v>
      </c>
      <c r="R7" s="3">
        <v>16</v>
      </c>
      <c r="S7" s="3">
        <v>17</v>
      </c>
      <c r="T7" s="3">
        <v>0</v>
      </c>
      <c r="U7" s="3">
        <v>191</v>
      </c>
      <c r="V7" s="3">
        <v>154</v>
      </c>
      <c r="W7" s="4">
        <v>0.80628272251308897</v>
      </c>
      <c r="X7" s="5">
        <v>9.625</v>
      </c>
      <c r="Y7" s="6">
        <v>0</v>
      </c>
      <c r="Z7" s="6">
        <v>7.35606060606061</v>
      </c>
      <c r="AA7" s="11">
        <v>154</v>
      </c>
      <c r="AB7" s="3"/>
      <c r="AC7" s="11">
        <v>0</v>
      </c>
    </row>
    <row r="8" spans="1:29" ht="15.5" x14ac:dyDescent="0.35">
      <c r="A8" s="49" t="s">
        <v>362</v>
      </c>
      <c r="B8" s="49">
        <f t="shared" ca="1" si="0"/>
        <v>26</v>
      </c>
      <c r="C8" s="49" t="s">
        <v>373</v>
      </c>
      <c r="D8" s="32" t="s">
        <v>144</v>
      </c>
      <c r="E8" s="3" t="s">
        <v>150</v>
      </c>
      <c r="F8" s="2" t="s">
        <v>48</v>
      </c>
      <c r="G8" s="3">
        <f t="shared" si="3"/>
        <v>177</v>
      </c>
      <c r="H8" s="3">
        <f t="shared" si="4"/>
        <v>151</v>
      </c>
      <c r="I8" s="16" t="s">
        <v>131</v>
      </c>
      <c r="J8" s="15" t="s">
        <v>132</v>
      </c>
      <c r="K8" s="50" t="s">
        <v>351</v>
      </c>
      <c r="L8" s="36" t="s">
        <v>266</v>
      </c>
      <c r="M8" s="3">
        <v>28</v>
      </c>
      <c r="N8" s="3">
        <v>0</v>
      </c>
      <c r="O8" s="3">
        <v>2</v>
      </c>
      <c r="P8" s="3">
        <v>1</v>
      </c>
      <c r="Q8" s="3">
        <v>3</v>
      </c>
      <c r="R8" s="3">
        <v>17</v>
      </c>
      <c r="S8" s="3">
        <v>17</v>
      </c>
      <c r="T8" s="3">
        <v>0</v>
      </c>
      <c r="U8" s="3">
        <v>177</v>
      </c>
      <c r="V8" s="3">
        <v>151</v>
      </c>
      <c r="W8" s="4">
        <v>0.85310734463276805</v>
      </c>
      <c r="X8" s="5">
        <v>9.0588235294117592</v>
      </c>
      <c r="Y8" s="6">
        <v>0</v>
      </c>
      <c r="Z8" s="6">
        <v>13.1997835497836</v>
      </c>
      <c r="AA8" s="11">
        <v>154</v>
      </c>
      <c r="AB8" s="3"/>
      <c r="AC8" s="11">
        <v>3</v>
      </c>
    </row>
    <row r="9" spans="1:29" ht="15.5" x14ac:dyDescent="0.35">
      <c r="A9" s="49" t="s">
        <v>362</v>
      </c>
      <c r="B9" s="49">
        <f t="shared" ca="1" si="0"/>
        <v>1</v>
      </c>
      <c r="C9" s="49" t="s">
        <v>372</v>
      </c>
      <c r="D9" s="32">
        <v>46032</v>
      </c>
      <c r="E9" s="3">
        <v>2007</v>
      </c>
      <c r="F9" s="55" t="s">
        <v>268</v>
      </c>
      <c r="G9" s="52">
        <v>0</v>
      </c>
      <c r="H9" s="52">
        <v>0</v>
      </c>
      <c r="I9" s="16" t="s">
        <v>131</v>
      </c>
      <c r="J9" s="15" t="s">
        <v>132</v>
      </c>
      <c r="K9" s="50" t="s">
        <v>351</v>
      </c>
      <c r="L9" s="36" t="s">
        <v>267</v>
      </c>
      <c r="M9" s="3">
        <v>28</v>
      </c>
      <c r="N9" s="3">
        <v>0</v>
      </c>
      <c r="O9" s="3">
        <v>2</v>
      </c>
      <c r="P9" s="3">
        <v>2</v>
      </c>
      <c r="Q9" s="3">
        <v>4</v>
      </c>
      <c r="R9" s="3">
        <v>16</v>
      </c>
      <c r="S9" s="3">
        <v>10</v>
      </c>
      <c r="T9" s="20">
        <v>6</v>
      </c>
      <c r="U9" s="3">
        <v>214</v>
      </c>
      <c r="V9" s="3">
        <v>66</v>
      </c>
      <c r="W9" s="4">
        <v>0.30841121495327101</v>
      </c>
      <c r="X9" s="5">
        <v>4.125</v>
      </c>
      <c r="Y9" s="6">
        <v>0</v>
      </c>
      <c r="Z9" s="6">
        <v>3.3406565656565701</v>
      </c>
      <c r="AA9" s="11">
        <v>66</v>
      </c>
      <c r="AB9" s="3"/>
      <c r="AC9" s="11">
        <v>0</v>
      </c>
    </row>
    <row r="10" spans="1:29" ht="15.5" x14ac:dyDescent="0.35">
      <c r="A10" s="49" t="s">
        <v>362</v>
      </c>
      <c r="B10" s="49">
        <f t="shared" ca="1" si="0"/>
        <v>4</v>
      </c>
      <c r="C10" s="49" t="s">
        <v>373</v>
      </c>
      <c r="D10" s="32" t="s">
        <v>247</v>
      </c>
      <c r="E10" s="3">
        <v>1839</v>
      </c>
      <c r="F10" s="2" t="s">
        <v>246</v>
      </c>
      <c r="G10" s="3">
        <f t="shared" ref="G10" si="5">U10</f>
        <v>182</v>
      </c>
      <c r="H10" s="3">
        <f t="shared" ref="H10" si="6">V10</f>
        <v>144</v>
      </c>
      <c r="I10" s="42" t="s">
        <v>281</v>
      </c>
      <c r="J10" s="15" t="s">
        <v>132</v>
      </c>
      <c r="K10" s="50" t="s">
        <v>351</v>
      </c>
      <c r="L10" s="39" t="s">
        <v>270</v>
      </c>
      <c r="M10" s="3">
        <v>28</v>
      </c>
      <c r="N10" s="3">
        <v>0</v>
      </c>
      <c r="O10" s="3">
        <v>0</v>
      </c>
      <c r="P10" s="3">
        <v>1</v>
      </c>
      <c r="Q10" s="3">
        <v>1</v>
      </c>
      <c r="R10" s="3">
        <v>19</v>
      </c>
      <c r="S10" s="3">
        <v>17</v>
      </c>
      <c r="T10" s="20">
        <v>2</v>
      </c>
      <c r="U10" s="3">
        <v>182</v>
      </c>
      <c r="V10" s="3">
        <v>144</v>
      </c>
      <c r="W10" s="4">
        <v>0.79120879120879095</v>
      </c>
      <c r="X10" s="5">
        <v>7.5789473684210504</v>
      </c>
      <c r="Y10" s="6">
        <v>0</v>
      </c>
      <c r="Z10" s="6">
        <v>25.447106481481502</v>
      </c>
      <c r="AA10" s="11">
        <v>144</v>
      </c>
      <c r="AB10" s="3"/>
      <c r="AC10" s="11">
        <v>0</v>
      </c>
    </row>
    <row r="11" spans="1:29" ht="15.5" x14ac:dyDescent="0.35">
      <c r="A11" s="49" t="s">
        <v>362</v>
      </c>
      <c r="B11" s="49">
        <f t="shared" ca="1" si="0"/>
        <v>2</v>
      </c>
      <c r="C11" s="49" t="s">
        <v>372</v>
      </c>
      <c r="D11" s="32">
        <v>46023</v>
      </c>
      <c r="E11" s="3">
        <v>2018</v>
      </c>
      <c r="F11" s="1" t="s">
        <v>272</v>
      </c>
      <c r="G11" s="51">
        <v>0</v>
      </c>
      <c r="H11" s="51">
        <v>0</v>
      </c>
      <c r="I11" s="42" t="s">
        <v>281</v>
      </c>
      <c r="J11" s="15" t="s">
        <v>132</v>
      </c>
      <c r="K11" s="50" t="s">
        <v>351</v>
      </c>
      <c r="L11" s="39" t="s">
        <v>271</v>
      </c>
      <c r="M11" s="3">
        <v>28</v>
      </c>
      <c r="N11" s="3">
        <v>0</v>
      </c>
      <c r="O11" s="3">
        <v>1</v>
      </c>
      <c r="P11" s="3">
        <v>1.5</v>
      </c>
      <c r="Q11" s="3">
        <v>2.5</v>
      </c>
      <c r="R11" s="3">
        <v>17.5</v>
      </c>
      <c r="S11" s="3">
        <v>16</v>
      </c>
      <c r="T11" s="20">
        <v>1.5</v>
      </c>
      <c r="U11" s="3">
        <v>158</v>
      </c>
      <c r="V11" s="3">
        <v>120</v>
      </c>
      <c r="W11" s="4">
        <v>0.759493670886076</v>
      </c>
      <c r="X11" s="5">
        <v>6.8571428571428603</v>
      </c>
      <c r="Y11" s="6">
        <v>0</v>
      </c>
      <c r="Z11" s="6">
        <v>12.0077777777778</v>
      </c>
      <c r="AA11" s="11">
        <v>120</v>
      </c>
      <c r="AB11" s="3"/>
      <c r="AC11" s="11">
        <v>0</v>
      </c>
    </row>
    <row r="12" spans="1:29" ht="15.5" x14ac:dyDescent="0.35">
      <c r="A12" s="49" t="s">
        <v>362</v>
      </c>
      <c r="B12" s="49">
        <f t="shared" ca="1" si="0"/>
        <v>1</v>
      </c>
      <c r="C12" s="49" t="s">
        <v>372</v>
      </c>
      <c r="D12" s="32">
        <v>46032</v>
      </c>
      <c r="E12" s="3">
        <v>2074</v>
      </c>
      <c r="F12" s="1" t="s">
        <v>274</v>
      </c>
      <c r="G12" s="51">
        <v>0</v>
      </c>
      <c r="H12" s="51">
        <v>0</v>
      </c>
      <c r="I12" s="42" t="s">
        <v>281</v>
      </c>
      <c r="J12" s="15" t="s">
        <v>132</v>
      </c>
      <c r="K12" s="50" t="s">
        <v>351</v>
      </c>
      <c r="L12" s="39" t="s">
        <v>273</v>
      </c>
      <c r="M12" s="3">
        <v>28</v>
      </c>
      <c r="N12" s="3">
        <v>0</v>
      </c>
      <c r="O12" s="3">
        <v>0</v>
      </c>
      <c r="P12" s="3">
        <v>1</v>
      </c>
      <c r="Q12" s="3">
        <v>1</v>
      </c>
      <c r="R12" s="3">
        <v>19</v>
      </c>
      <c r="S12" s="3">
        <v>17</v>
      </c>
      <c r="T12" s="20">
        <v>2</v>
      </c>
      <c r="U12" s="3">
        <v>253</v>
      </c>
      <c r="V12" s="3">
        <v>131</v>
      </c>
      <c r="W12" s="4">
        <v>0.51778656126482203</v>
      </c>
      <c r="X12" s="5">
        <v>6.8947368421052602</v>
      </c>
      <c r="Y12" s="6">
        <v>0</v>
      </c>
      <c r="Z12" s="6">
        <v>16.027099236641199</v>
      </c>
      <c r="AA12" s="11">
        <v>131</v>
      </c>
      <c r="AB12" s="3"/>
      <c r="AC12" s="11">
        <v>0</v>
      </c>
    </row>
    <row r="13" spans="1:29" ht="15.5" x14ac:dyDescent="0.35">
      <c r="A13" s="49" t="s">
        <v>362</v>
      </c>
      <c r="B13" s="49">
        <f t="shared" ca="1" si="0"/>
        <v>66</v>
      </c>
      <c r="C13" s="49" t="s">
        <v>373</v>
      </c>
      <c r="D13" s="32" t="s">
        <v>160</v>
      </c>
      <c r="E13" s="3" t="s">
        <v>161</v>
      </c>
      <c r="F13" s="2" t="s">
        <v>19</v>
      </c>
      <c r="G13" s="3">
        <f t="shared" ref="G13:G14" si="7">U13</f>
        <v>147</v>
      </c>
      <c r="H13" s="3">
        <f t="shared" ref="H13:H14" si="8">V13</f>
        <v>0</v>
      </c>
      <c r="I13" s="42" t="s">
        <v>281</v>
      </c>
      <c r="J13" s="15" t="s">
        <v>132</v>
      </c>
      <c r="K13" s="50" t="s">
        <v>351</v>
      </c>
      <c r="L13" s="39" t="s">
        <v>275</v>
      </c>
      <c r="M13" s="3">
        <v>28</v>
      </c>
      <c r="N13" s="3">
        <v>0</v>
      </c>
      <c r="O13" s="3">
        <v>0</v>
      </c>
      <c r="P13" s="3">
        <v>0</v>
      </c>
      <c r="Q13" s="3">
        <v>0</v>
      </c>
      <c r="R13" s="3">
        <v>20</v>
      </c>
      <c r="S13" s="3">
        <v>0</v>
      </c>
      <c r="T13" s="20">
        <v>20</v>
      </c>
      <c r="U13" s="3">
        <v>147</v>
      </c>
      <c r="V13" s="3">
        <v>0</v>
      </c>
      <c r="W13" s="4">
        <v>0</v>
      </c>
      <c r="X13" s="5">
        <v>0</v>
      </c>
      <c r="Y13" s="6">
        <v>0</v>
      </c>
      <c r="Z13" s="6">
        <v>0</v>
      </c>
      <c r="AA13" s="11">
        <v>0</v>
      </c>
      <c r="AB13" s="3"/>
      <c r="AC13" s="11">
        <v>0</v>
      </c>
    </row>
    <row r="14" spans="1:29" ht="15.5" x14ac:dyDescent="0.35">
      <c r="A14" s="49" t="s">
        <v>362</v>
      </c>
      <c r="B14" s="49">
        <f t="shared" ca="1" si="0"/>
        <v>26</v>
      </c>
      <c r="C14" s="49" t="s">
        <v>373</v>
      </c>
      <c r="D14" s="32" t="s">
        <v>144</v>
      </c>
      <c r="E14" s="3" t="s">
        <v>162</v>
      </c>
      <c r="F14" s="2" t="s">
        <v>348</v>
      </c>
      <c r="G14" s="3">
        <f t="shared" si="7"/>
        <v>189</v>
      </c>
      <c r="H14" s="3">
        <f t="shared" si="8"/>
        <v>127</v>
      </c>
      <c r="I14" s="42" t="s">
        <v>281</v>
      </c>
      <c r="J14" s="15" t="s">
        <v>132</v>
      </c>
      <c r="K14" s="50" t="s">
        <v>351</v>
      </c>
      <c r="L14" s="39" t="s">
        <v>276</v>
      </c>
      <c r="M14" s="3">
        <v>28</v>
      </c>
      <c r="N14" s="3">
        <v>0</v>
      </c>
      <c r="O14" s="3">
        <v>1</v>
      </c>
      <c r="P14" s="3">
        <v>1</v>
      </c>
      <c r="Q14" s="3">
        <v>2</v>
      </c>
      <c r="R14" s="3">
        <v>18</v>
      </c>
      <c r="S14" s="3">
        <v>15</v>
      </c>
      <c r="T14" s="20">
        <v>3</v>
      </c>
      <c r="U14" s="3">
        <v>189</v>
      </c>
      <c r="V14" s="3">
        <v>127</v>
      </c>
      <c r="W14" s="4">
        <v>0.67195767195767198</v>
      </c>
      <c r="X14" s="5">
        <v>7.0555555555555598</v>
      </c>
      <c r="Y14" s="6">
        <v>1.5748031496062999E-2</v>
      </c>
      <c r="Z14" s="6">
        <v>15.453018372703401</v>
      </c>
      <c r="AA14" s="11">
        <v>127</v>
      </c>
      <c r="AB14" s="3"/>
      <c r="AC14" s="11">
        <v>0</v>
      </c>
    </row>
    <row r="15" spans="1:29" ht="15.5" x14ac:dyDescent="0.35">
      <c r="A15" s="49" t="s">
        <v>362</v>
      </c>
      <c r="B15" s="49">
        <f t="shared" ca="1" si="0"/>
        <v>1</v>
      </c>
      <c r="C15" s="49" t="s">
        <v>372</v>
      </c>
      <c r="D15" s="32">
        <v>46033</v>
      </c>
      <c r="E15" s="3">
        <v>2075</v>
      </c>
      <c r="F15" s="1" t="s">
        <v>279</v>
      </c>
      <c r="G15" s="51">
        <v>0</v>
      </c>
      <c r="H15" s="51">
        <v>0</v>
      </c>
      <c r="I15" s="42" t="s">
        <v>281</v>
      </c>
      <c r="J15" s="15" t="s">
        <v>132</v>
      </c>
      <c r="K15" s="50" t="s">
        <v>351</v>
      </c>
      <c r="L15" s="39" t="s">
        <v>277</v>
      </c>
      <c r="M15" s="3">
        <v>28</v>
      </c>
      <c r="N15" s="3">
        <v>0</v>
      </c>
      <c r="O15" s="3">
        <v>0</v>
      </c>
      <c r="P15" s="3">
        <v>1</v>
      </c>
      <c r="Q15" s="3">
        <v>1</v>
      </c>
      <c r="R15" s="3">
        <v>19</v>
      </c>
      <c r="S15" s="3">
        <v>16</v>
      </c>
      <c r="T15" s="20">
        <v>3</v>
      </c>
      <c r="U15" s="3">
        <v>197</v>
      </c>
      <c r="V15" s="3">
        <v>163</v>
      </c>
      <c r="W15" s="4">
        <v>0.82741116751268995</v>
      </c>
      <c r="X15" s="5">
        <v>8.6315789473684195</v>
      </c>
      <c r="Y15" s="6">
        <v>0.32317073170731703</v>
      </c>
      <c r="Z15" s="6">
        <v>7.3282520325203304</v>
      </c>
      <c r="AA15" s="11">
        <v>164</v>
      </c>
      <c r="AB15" s="3"/>
      <c r="AC15" s="11">
        <v>1</v>
      </c>
    </row>
    <row r="16" spans="1:29" ht="15.5" x14ac:dyDescent="0.35">
      <c r="A16" s="49" t="s">
        <v>362</v>
      </c>
      <c r="B16" s="49">
        <f t="shared" ca="1" si="0"/>
        <v>2</v>
      </c>
      <c r="C16" s="49" t="s">
        <v>372</v>
      </c>
      <c r="D16" s="32">
        <v>46023</v>
      </c>
      <c r="E16" s="3">
        <v>2019</v>
      </c>
      <c r="F16" s="1" t="s">
        <v>280</v>
      </c>
      <c r="G16" s="51">
        <v>0</v>
      </c>
      <c r="H16" s="51">
        <v>0</v>
      </c>
      <c r="I16" s="42" t="s">
        <v>281</v>
      </c>
      <c r="J16" s="15" t="s">
        <v>132</v>
      </c>
      <c r="K16" s="50" t="s">
        <v>351</v>
      </c>
      <c r="L16" s="39" t="s">
        <v>278</v>
      </c>
      <c r="M16" s="3">
        <v>28</v>
      </c>
      <c r="N16" s="3">
        <v>0</v>
      </c>
      <c r="O16" s="3">
        <v>0</v>
      </c>
      <c r="P16" s="3">
        <v>0.5</v>
      </c>
      <c r="Q16" s="3">
        <v>0.5</v>
      </c>
      <c r="R16" s="3">
        <v>19.5</v>
      </c>
      <c r="S16" s="3">
        <v>14</v>
      </c>
      <c r="T16" s="20">
        <v>5.5</v>
      </c>
      <c r="U16" s="3">
        <v>194</v>
      </c>
      <c r="V16" s="3">
        <v>146</v>
      </c>
      <c r="W16" s="4">
        <v>0.75257731958762897</v>
      </c>
      <c r="X16" s="5">
        <v>7.5384615384615401</v>
      </c>
      <c r="Y16" s="6">
        <v>0.97278911564625803</v>
      </c>
      <c r="Z16" s="6">
        <v>4.8744897959183699</v>
      </c>
      <c r="AA16" s="11">
        <v>147</v>
      </c>
      <c r="AB16" s="40"/>
      <c r="AC16" s="11">
        <v>1</v>
      </c>
    </row>
    <row r="17" spans="1:29" ht="15.5" x14ac:dyDescent="0.35">
      <c r="A17" s="49" t="s">
        <v>362</v>
      </c>
      <c r="B17" s="49">
        <f t="shared" ca="1" si="0"/>
        <v>18</v>
      </c>
      <c r="C17" s="49" t="s">
        <v>373</v>
      </c>
      <c r="D17" s="32" t="s">
        <v>151</v>
      </c>
      <c r="E17" s="3" t="s">
        <v>166</v>
      </c>
      <c r="F17" s="10" t="s">
        <v>125</v>
      </c>
      <c r="G17" s="3">
        <f>U17</f>
        <v>216</v>
      </c>
      <c r="H17" s="3">
        <f>V17</f>
        <v>163</v>
      </c>
      <c r="I17" s="27" t="s">
        <v>358</v>
      </c>
      <c r="J17" s="15" t="s">
        <v>132</v>
      </c>
      <c r="K17" s="50" t="s">
        <v>351</v>
      </c>
      <c r="L17" s="39" t="s">
        <v>284</v>
      </c>
      <c r="M17" s="3">
        <v>28</v>
      </c>
      <c r="N17" s="3">
        <v>0</v>
      </c>
      <c r="O17" s="3">
        <v>0</v>
      </c>
      <c r="P17" s="3">
        <v>0</v>
      </c>
      <c r="Q17" s="3">
        <v>0</v>
      </c>
      <c r="R17" s="3">
        <v>20</v>
      </c>
      <c r="S17" s="3">
        <v>17</v>
      </c>
      <c r="T17" s="20">
        <v>3</v>
      </c>
      <c r="U17" s="3">
        <v>216</v>
      </c>
      <c r="V17" s="3">
        <v>163</v>
      </c>
      <c r="W17" s="4">
        <v>0.75462962962962998</v>
      </c>
      <c r="X17" s="5">
        <v>8.15</v>
      </c>
      <c r="Y17" s="6">
        <v>1.49693251533742</v>
      </c>
      <c r="Z17" s="6">
        <v>20.248466257668699</v>
      </c>
      <c r="AA17" s="11">
        <v>163</v>
      </c>
      <c r="AB17" s="3"/>
      <c r="AC17" s="11">
        <v>0</v>
      </c>
    </row>
    <row r="18" spans="1:29" ht="15.5" x14ac:dyDescent="0.35">
      <c r="A18" s="49" t="s">
        <v>362</v>
      </c>
      <c r="B18" s="49">
        <f t="shared" ca="1" si="0"/>
        <v>2</v>
      </c>
      <c r="C18" s="49" t="s">
        <v>372</v>
      </c>
      <c r="D18" s="32">
        <v>46023</v>
      </c>
      <c r="E18" s="3">
        <v>2020</v>
      </c>
      <c r="F18" s="1" t="s">
        <v>287</v>
      </c>
      <c r="G18" s="51">
        <v>0</v>
      </c>
      <c r="H18" s="51">
        <v>0</v>
      </c>
      <c r="I18" s="27" t="s">
        <v>358</v>
      </c>
      <c r="J18" s="15" t="s">
        <v>132</v>
      </c>
      <c r="K18" s="50" t="s">
        <v>351</v>
      </c>
      <c r="L18" s="39" t="s">
        <v>285</v>
      </c>
      <c r="M18" s="3">
        <v>28</v>
      </c>
      <c r="N18" s="3">
        <v>0</v>
      </c>
      <c r="O18" s="3">
        <v>0</v>
      </c>
      <c r="P18" s="3">
        <v>0</v>
      </c>
      <c r="Q18" s="3">
        <v>0</v>
      </c>
      <c r="R18" s="3">
        <v>20</v>
      </c>
      <c r="S18" s="3">
        <v>18</v>
      </c>
      <c r="T18" s="20">
        <v>2</v>
      </c>
      <c r="U18" s="3">
        <v>215</v>
      </c>
      <c r="V18" s="3">
        <v>148</v>
      </c>
      <c r="W18" s="4">
        <v>0.68837209302325597</v>
      </c>
      <c r="X18" s="5">
        <v>7.8</v>
      </c>
      <c r="Y18" s="6">
        <v>1.2692307692307701</v>
      </c>
      <c r="Z18" s="6">
        <v>17.218055555555601</v>
      </c>
      <c r="AA18" s="11">
        <v>156</v>
      </c>
      <c r="AB18" s="3"/>
      <c r="AC18" s="11">
        <v>8</v>
      </c>
    </row>
    <row r="19" spans="1:29" ht="15.5" x14ac:dyDescent="0.35">
      <c r="A19" s="49" t="s">
        <v>362</v>
      </c>
      <c r="B19" s="49">
        <f t="shared" ca="1" si="0"/>
        <v>1</v>
      </c>
      <c r="C19" s="49" t="s">
        <v>372</v>
      </c>
      <c r="D19" s="32">
        <v>46032</v>
      </c>
      <c r="E19" s="3">
        <v>2039</v>
      </c>
      <c r="F19" s="1" t="s">
        <v>288</v>
      </c>
      <c r="G19" s="51">
        <v>0</v>
      </c>
      <c r="H19" s="51">
        <v>0</v>
      </c>
      <c r="I19" s="27" t="s">
        <v>358</v>
      </c>
      <c r="J19" s="15" t="s">
        <v>132</v>
      </c>
      <c r="K19" s="50" t="s">
        <v>351</v>
      </c>
      <c r="L19" s="39" t="s">
        <v>286</v>
      </c>
      <c r="M19" s="3">
        <v>28</v>
      </c>
      <c r="N19" s="3">
        <v>0</v>
      </c>
      <c r="O19" s="3">
        <v>0</v>
      </c>
      <c r="P19" s="3">
        <v>0</v>
      </c>
      <c r="Q19" s="3">
        <v>0</v>
      </c>
      <c r="R19" s="3">
        <v>20</v>
      </c>
      <c r="S19" s="3">
        <v>14</v>
      </c>
      <c r="T19" s="20">
        <v>6</v>
      </c>
      <c r="U19" s="3">
        <v>187</v>
      </c>
      <c r="V19" s="3">
        <v>110</v>
      </c>
      <c r="W19" s="4">
        <v>0.58823529411764697</v>
      </c>
      <c r="X19" s="5">
        <v>6.55</v>
      </c>
      <c r="Y19" s="6">
        <v>1.9160305343511499</v>
      </c>
      <c r="Z19" s="6">
        <v>5.3447837150127198</v>
      </c>
      <c r="AA19" s="11">
        <v>131</v>
      </c>
      <c r="AB19" s="3"/>
      <c r="AC19" s="11">
        <v>21</v>
      </c>
    </row>
    <row r="20" spans="1:29" ht="15.5" x14ac:dyDescent="0.35">
      <c r="A20" s="49" t="s">
        <v>362</v>
      </c>
      <c r="B20" s="49">
        <f t="shared" ca="1" si="0"/>
        <v>26</v>
      </c>
      <c r="C20" s="49" t="s">
        <v>373</v>
      </c>
      <c r="D20" s="32" t="s">
        <v>144</v>
      </c>
      <c r="E20" s="3" t="s">
        <v>169</v>
      </c>
      <c r="F20" s="2" t="s">
        <v>65</v>
      </c>
      <c r="G20" s="3">
        <f t="shared" ref="G20:G21" si="9">U20</f>
        <v>184</v>
      </c>
      <c r="H20" s="3">
        <f t="shared" ref="H20:H21" si="10">V20</f>
        <v>157</v>
      </c>
      <c r="I20" s="27" t="s">
        <v>358</v>
      </c>
      <c r="J20" s="15" t="s">
        <v>132</v>
      </c>
      <c r="K20" s="50" t="s">
        <v>351</v>
      </c>
      <c r="L20" s="39" t="s">
        <v>289</v>
      </c>
      <c r="M20" s="3">
        <v>28</v>
      </c>
      <c r="N20" s="3">
        <v>0</v>
      </c>
      <c r="O20" s="3">
        <v>0</v>
      </c>
      <c r="P20" s="3">
        <v>0</v>
      </c>
      <c r="Q20" s="3">
        <v>0</v>
      </c>
      <c r="R20" s="3">
        <v>20</v>
      </c>
      <c r="S20" s="3">
        <v>18</v>
      </c>
      <c r="T20" s="20">
        <v>2</v>
      </c>
      <c r="U20" s="3">
        <v>184</v>
      </c>
      <c r="V20" s="3">
        <v>157</v>
      </c>
      <c r="W20" s="4">
        <v>0.85326086956521696</v>
      </c>
      <c r="X20" s="5">
        <v>7.9</v>
      </c>
      <c r="Y20" s="6">
        <v>0</v>
      </c>
      <c r="Z20" s="6">
        <v>15.1150843881857</v>
      </c>
      <c r="AA20" s="11">
        <v>158</v>
      </c>
      <c r="AB20" s="3"/>
      <c r="AC20" s="11">
        <v>1</v>
      </c>
    </row>
    <row r="21" spans="1:29" ht="15.5" x14ac:dyDescent="0.35">
      <c r="A21" s="49" t="s">
        <v>362</v>
      </c>
      <c r="B21" s="49">
        <f t="shared" ca="1" si="0"/>
        <v>23</v>
      </c>
      <c r="C21" s="49" t="s">
        <v>373</v>
      </c>
      <c r="D21" s="32" t="s">
        <v>170</v>
      </c>
      <c r="E21" s="3" t="s">
        <v>171</v>
      </c>
      <c r="F21" s="2" t="s">
        <v>117</v>
      </c>
      <c r="G21" s="3">
        <f t="shared" si="9"/>
        <v>147</v>
      </c>
      <c r="H21" s="3">
        <f t="shared" si="10"/>
        <v>123</v>
      </c>
      <c r="I21" s="27" t="s">
        <v>358</v>
      </c>
      <c r="J21" s="15" t="s">
        <v>132</v>
      </c>
      <c r="K21" s="50" t="s">
        <v>351</v>
      </c>
      <c r="L21" s="39" t="s">
        <v>290</v>
      </c>
      <c r="M21" s="3">
        <v>28</v>
      </c>
      <c r="N21" s="3">
        <v>0</v>
      </c>
      <c r="O21" s="3">
        <v>0</v>
      </c>
      <c r="P21" s="3">
        <v>0</v>
      </c>
      <c r="Q21" s="3">
        <v>0</v>
      </c>
      <c r="R21" s="3">
        <v>20</v>
      </c>
      <c r="S21" s="3">
        <v>16</v>
      </c>
      <c r="T21" s="20">
        <v>4</v>
      </c>
      <c r="U21" s="3">
        <v>147</v>
      </c>
      <c r="V21" s="3">
        <v>123</v>
      </c>
      <c r="W21" s="4">
        <v>0.83673469387755095</v>
      </c>
      <c r="X21" s="5">
        <v>6.15</v>
      </c>
      <c r="Y21" s="6">
        <v>1.82113821138211</v>
      </c>
      <c r="Z21" s="6">
        <v>25.008401084010799</v>
      </c>
      <c r="AA21" s="11">
        <v>123</v>
      </c>
      <c r="AB21" s="3"/>
      <c r="AC21" s="11">
        <v>0</v>
      </c>
    </row>
    <row r="22" spans="1:29" ht="15.5" x14ac:dyDescent="0.35">
      <c r="A22" s="49" t="s">
        <v>362</v>
      </c>
      <c r="B22" s="49">
        <f t="shared" ca="1" si="0"/>
        <v>2</v>
      </c>
      <c r="C22" s="49" t="s">
        <v>372</v>
      </c>
      <c r="D22" s="32">
        <v>46023</v>
      </c>
      <c r="E22" s="3">
        <v>2021</v>
      </c>
      <c r="F22" s="1" t="s">
        <v>292</v>
      </c>
      <c r="G22" s="51">
        <v>0</v>
      </c>
      <c r="H22" s="51">
        <v>0</v>
      </c>
      <c r="I22" s="27" t="s">
        <v>358</v>
      </c>
      <c r="J22" s="15" t="s">
        <v>132</v>
      </c>
      <c r="K22" s="50" t="s">
        <v>351</v>
      </c>
      <c r="L22" s="39" t="s">
        <v>291</v>
      </c>
      <c r="M22" s="3">
        <v>28</v>
      </c>
      <c r="N22" s="3">
        <v>0</v>
      </c>
      <c r="O22" s="3">
        <v>0</v>
      </c>
      <c r="P22" s="3">
        <v>0</v>
      </c>
      <c r="Q22" s="3">
        <v>0</v>
      </c>
      <c r="R22" s="3">
        <v>20</v>
      </c>
      <c r="S22" s="3">
        <v>18</v>
      </c>
      <c r="T22" s="20">
        <v>2</v>
      </c>
      <c r="U22" s="3">
        <v>156</v>
      </c>
      <c r="V22" s="3">
        <v>169</v>
      </c>
      <c r="W22" s="4">
        <v>1.0833333333333299</v>
      </c>
      <c r="X22" s="5">
        <v>8.4499999999999993</v>
      </c>
      <c r="Y22" s="6">
        <v>1.7692307692307701</v>
      </c>
      <c r="Z22" s="6">
        <v>5.2704142011834296</v>
      </c>
      <c r="AA22" s="11">
        <v>169</v>
      </c>
      <c r="AB22" s="3"/>
      <c r="AC22" s="11">
        <v>0</v>
      </c>
    </row>
    <row r="23" spans="1:29" ht="15.5" x14ac:dyDescent="0.35">
      <c r="A23" s="49" t="s">
        <v>362</v>
      </c>
      <c r="B23" s="49">
        <f t="shared" ca="1" si="0"/>
        <v>67</v>
      </c>
      <c r="C23" s="49" t="s">
        <v>373</v>
      </c>
      <c r="D23" s="32" t="s">
        <v>174</v>
      </c>
      <c r="E23" s="3" t="s">
        <v>175</v>
      </c>
      <c r="F23" s="2" t="s">
        <v>26</v>
      </c>
      <c r="G23" s="3">
        <f t="shared" ref="G23:G24" si="11">U23</f>
        <v>232</v>
      </c>
      <c r="H23" s="3">
        <f t="shared" ref="H23:H24" si="12">V23</f>
        <v>163</v>
      </c>
      <c r="I23" s="27" t="s">
        <v>358</v>
      </c>
      <c r="J23" s="15" t="s">
        <v>132</v>
      </c>
      <c r="K23" s="50" t="s">
        <v>351</v>
      </c>
      <c r="L23" s="39" t="s">
        <v>293</v>
      </c>
      <c r="M23" s="3">
        <v>28</v>
      </c>
      <c r="N23" s="3">
        <v>0</v>
      </c>
      <c r="O23" s="3">
        <v>0</v>
      </c>
      <c r="P23" s="3">
        <v>0</v>
      </c>
      <c r="Q23" s="3">
        <v>0</v>
      </c>
      <c r="R23" s="3">
        <v>20</v>
      </c>
      <c r="S23" s="3">
        <v>17</v>
      </c>
      <c r="T23" s="20">
        <v>3</v>
      </c>
      <c r="U23" s="3">
        <v>232</v>
      </c>
      <c r="V23" s="3">
        <v>163</v>
      </c>
      <c r="W23" s="4">
        <v>0.70258620689655205</v>
      </c>
      <c r="X23" s="5">
        <v>8.15</v>
      </c>
      <c r="Y23" s="6">
        <v>0</v>
      </c>
      <c r="Z23" s="6">
        <v>28.1849693251534</v>
      </c>
      <c r="AA23" s="11">
        <v>163</v>
      </c>
      <c r="AB23" s="3"/>
      <c r="AC23" s="11">
        <v>0</v>
      </c>
    </row>
    <row r="24" spans="1:29" ht="15.5" x14ac:dyDescent="0.35">
      <c r="A24" s="49" t="s">
        <v>362</v>
      </c>
      <c r="B24" s="49">
        <f t="shared" ca="1" si="0"/>
        <v>26</v>
      </c>
      <c r="C24" s="49" t="s">
        <v>373</v>
      </c>
      <c r="D24" s="32" t="s">
        <v>144</v>
      </c>
      <c r="E24" s="3" t="s">
        <v>176</v>
      </c>
      <c r="F24" s="2" t="s">
        <v>70</v>
      </c>
      <c r="G24" s="3">
        <f t="shared" si="11"/>
        <v>212</v>
      </c>
      <c r="H24" s="3">
        <f t="shared" si="12"/>
        <v>148</v>
      </c>
      <c r="I24" s="27" t="s">
        <v>358</v>
      </c>
      <c r="J24" s="15" t="s">
        <v>132</v>
      </c>
      <c r="K24" s="50" t="s">
        <v>351</v>
      </c>
      <c r="L24" s="39" t="s">
        <v>294</v>
      </c>
      <c r="M24" s="3">
        <v>28</v>
      </c>
      <c r="N24" s="3">
        <v>0</v>
      </c>
      <c r="O24" s="3">
        <v>0</v>
      </c>
      <c r="P24" s="3">
        <v>0</v>
      </c>
      <c r="Q24" s="3">
        <v>0</v>
      </c>
      <c r="R24" s="3">
        <v>20</v>
      </c>
      <c r="S24" s="3">
        <v>17</v>
      </c>
      <c r="T24" s="20">
        <v>3</v>
      </c>
      <c r="U24" s="3">
        <v>212</v>
      </c>
      <c r="V24" s="3">
        <v>148</v>
      </c>
      <c r="W24" s="4">
        <v>0.69811320754716999</v>
      </c>
      <c r="X24" s="5">
        <v>7.5</v>
      </c>
      <c r="Y24" s="6">
        <v>0</v>
      </c>
      <c r="Z24" s="6">
        <v>12.240222222222201</v>
      </c>
      <c r="AA24" s="11">
        <v>150</v>
      </c>
      <c r="AB24" s="3"/>
      <c r="AC24" s="11">
        <v>2</v>
      </c>
    </row>
    <row r="25" spans="1:29" ht="15.5" x14ac:dyDescent="0.35">
      <c r="A25" s="49" t="s">
        <v>362</v>
      </c>
      <c r="B25" s="49">
        <f t="shared" ca="1" si="0"/>
        <v>2</v>
      </c>
      <c r="C25" s="49" t="s">
        <v>372</v>
      </c>
      <c r="D25" s="32">
        <v>46023</v>
      </c>
      <c r="E25" s="3">
        <v>1992</v>
      </c>
      <c r="F25" s="1" t="s">
        <v>298</v>
      </c>
      <c r="G25" s="51">
        <v>0</v>
      </c>
      <c r="H25" s="51">
        <v>0</v>
      </c>
      <c r="I25" s="42" t="s">
        <v>308</v>
      </c>
      <c r="J25" s="15" t="s">
        <v>132</v>
      </c>
      <c r="K25" s="50" t="s">
        <v>351</v>
      </c>
      <c r="L25" s="39" t="s">
        <v>296</v>
      </c>
      <c r="M25" s="3">
        <v>28</v>
      </c>
      <c r="N25" s="3">
        <v>0</v>
      </c>
      <c r="O25" s="3">
        <v>0</v>
      </c>
      <c r="P25" s="3">
        <v>1</v>
      </c>
      <c r="Q25" s="3">
        <v>1</v>
      </c>
      <c r="R25" s="3">
        <v>19</v>
      </c>
      <c r="S25" s="3">
        <v>18</v>
      </c>
      <c r="T25" s="20">
        <v>1</v>
      </c>
      <c r="U25" s="3">
        <v>192</v>
      </c>
      <c r="V25" s="3">
        <v>141</v>
      </c>
      <c r="W25" s="4">
        <v>0.734375</v>
      </c>
      <c r="X25" s="5">
        <v>8.5263157894736796</v>
      </c>
      <c r="Y25" s="6">
        <v>1.3641975308642</v>
      </c>
      <c r="Z25" s="6">
        <v>11.561213991769501</v>
      </c>
      <c r="AA25" s="11">
        <v>162</v>
      </c>
      <c r="AB25" s="3"/>
      <c r="AC25" s="11">
        <v>21</v>
      </c>
    </row>
    <row r="26" spans="1:29" ht="15.5" x14ac:dyDescent="0.35">
      <c r="A26" s="49" t="s">
        <v>362</v>
      </c>
      <c r="B26" s="49">
        <f t="shared" ca="1" si="0"/>
        <v>2</v>
      </c>
      <c r="C26" s="49" t="s">
        <v>372</v>
      </c>
      <c r="D26" s="32">
        <v>46023</v>
      </c>
      <c r="E26" s="3">
        <v>1995</v>
      </c>
      <c r="F26" s="1" t="s">
        <v>299</v>
      </c>
      <c r="G26" s="51">
        <v>0</v>
      </c>
      <c r="H26" s="51">
        <v>0</v>
      </c>
      <c r="I26" s="42" t="s">
        <v>308</v>
      </c>
      <c r="J26" s="15" t="s">
        <v>132</v>
      </c>
      <c r="K26" s="50" t="s">
        <v>351</v>
      </c>
      <c r="L26" s="39" t="s">
        <v>297</v>
      </c>
      <c r="M26" s="3">
        <v>28</v>
      </c>
      <c r="N26" s="3">
        <v>0</v>
      </c>
      <c r="O26" s="3">
        <v>1</v>
      </c>
      <c r="P26" s="3">
        <v>1</v>
      </c>
      <c r="Q26" s="3">
        <v>2</v>
      </c>
      <c r="R26" s="3">
        <v>18</v>
      </c>
      <c r="S26" s="3">
        <v>17</v>
      </c>
      <c r="T26" s="20">
        <v>1</v>
      </c>
      <c r="U26" s="3">
        <v>159</v>
      </c>
      <c r="V26" s="3">
        <v>137</v>
      </c>
      <c r="W26" s="4">
        <v>0.86163522012578597</v>
      </c>
      <c r="X26" s="5">
        <v>8.6111111111111107</v>
      </c>
      <c r="Y26" s="6">
        <v>0</v>
      </c>
      <c r="Z26" s="6">
        <v>12.2909677419355</v>
      </c>
      <c r="AA26" s="11">
        <v>155</v>
      </c>
      <c r="AB26" s="3"/>
      <c r="AC26" s="11">
        <v>18</v>
      </c>
    </row>
    <row r="27" spans="1:29" ht="15.5" x14ac:dyDescent="0.35">
      <c r="A27" s="49" t="s">
        <v>362</v>
      </c>
      <c r="B27" s="49">
        <f t="shared" ca="1" si="0"/>
        <v>2</v>
      </c>
      <c r="C27" s="49" t="s">
        <v>372</v>
      </c>
      <c r="D27" s="32">
        <v>46023</v>
      </c>
      <c r="E27" s="3">
        <v>1994</v>
      </c>
      <c r="F27" s="1" t="s">
        <v>303</v>
      </c>
      <c r="G27" s="51">
        <v>0</v>
      </c>
      <c r="H27" s="51">
        <v>0</v>
      </c>
      <c r="I27" s="42" t="s">
        <v>308</v>
      </c>
      <c r="J27" s="15" t="s">
        <v>132</v>
      </c>
      <c r="K27" s="50" t="s">
        <v>351</v>
      </c>
      <c r="L27" s="39" t="s">
        <v>300</v>
      </c>
      <c r="M27" s="3">
        <v>28</v>
      </c>
      <c r="N27" s="3">
        <v>0</v>
      </c>
      <c r="O27" s="3">
        <v>2</v>
      </c>
      <c r="P27" s="3">
        <v>1</v>
      </c>
      <c r="Q27" s="3">
        <v>3</v>
      </c>
      <c r="R27" s="3">
        <v>17</v>
      </c>
      <c r="S27" s="3">
        <v>17</v>
      </c>
      <c r="T27" s="3">
        <v>0</v>
      </c>
      <c r="U27" s="3">
        <v>213</v>
      </c>
      <c r="V27" s="3">
        <v>132</v>
      </c>
      <c r="W27" s="4">
        <v>0.61971830985915499</v>
      </c>
      <c r="X27" s="5">
        <v>8.1764705882352899</v>
      </c>
      <c r="Y27" s="6">
        <v>1.02158273381295</v>
      </c>
      <c r="Z27" s="6">
        <v>7.2068345323741001</v>
      </c>
      <c r="AA27" s="11">
        <v>139</v>
      </c>
      <c r="AB27" s="3"/>
      <c r="AC27" s="11">
        <v>7</v>
      </c>
    </row>
    <row r="28" spans="1:29" ht="15.5" x14ac:dyDescent="0.35">
      <c r="A28" s="49" t="s">
        <v>362</v>
      </c>
      <c r="B28" s="49">
        <f t="shared" ca="1" si="0"/>
        <v>2</v>
      </c>
      <c r="C28" s="49" t="s">
        <v>372</v>
      </c>
      <c r="D28" s="32">
        <v>46023</v>
      </c>
      <c r="E28" s="3">
        <v>1993</v>
      </c>
      <c r="F28" s="1" t="s">
        <v>305</v>
      </c>
      <c r="G28" s="51">
        <v>0</v>
      </c>
      <c r="H28" s="51">
        <v>0</v>
      </c>
      <c r="I28" s="42" t="s">
        <v>308</v>
      </c>
      <c r="J28" s="15" t="s">
        <v>132</v>
      </c>
      <c r="K28" s="50" t="s">
        <v>351</v>
      </c>
      <c r="L28" s="39" t="s">
        <v>302</v>
      </c>
      <c r="M28" s="3">
        <v>28</v>
      </c>
      <c r="N28" s="3">
        <v>0</v>
      </c>
      <c r="O28" s="3">
        <v>1</v>
      </c>
      <c r="P28" s="3">
        <v>1</v>
      </c>
      <c r="Q28" s="3">
        <v>2</v>
      </c>
      <c r="R28" s="3">
        <v>18</v>
      </c>
      <c r="S28" s="3">
        <v>18</v>
      </c>
      <c r="T28" s="3">
        <v>0</v>
      </c>
      <c r="U28" s="3">
        <v>198</v>
      </c>
      <c r="V28" s="3">
        <v>92</v>
      </c>
      <c r="W28" s="4">
        <v>0.46464646464646497</v>
      </c>
      <c r="X28" s="5">
        <v>7.8333333333333304</v>
      </c>
      <c r="Y28" s="6">
        <v>0</v>
      </c>
      <c r="Z28" s="6">
        <v>5.1261229314420804</v>
      </c>
      <c r="AA28" s="11">
        <v>141</v>
      </c>
      <c r="AB28" s="3"/>
      <c r="AC28" s="11">
        <v>49</v>
      </c>
    </row>
    <row r="29" spans="1:29" ht="15.5" x14ac:dyDescent="0.35">
      <c r="A29" s="49" t="s">
        <v>362</v>
      </c>
      <c r="B29" s="49">
        <f t="shared" ca="1" si="0"/>
        <v>1</v>
      </c>
      <c r="C29" s="49" t="s">
        <v>372</v>
      </c>
      <c r="D29" s="32">
        <v>46054</v>
      </c>
      <c r="E29" s="3">
        <v>2133</v>
      </c>
      <c r="F29" s="1" t="s">
        <v>350</v>
      </c>
      <c r="G29" s="51">
        <v>0</v>
      </c>
      <c r="H29" s="51">
        <v>0</v>
      </c>
      <c r="I29" s="42" t="s">
        <v>308</v>
      </c>
      <c r="J29" s="15" t="s">
        <v>132</v>
      </c>
      <c r="K29" s="50" t="s">
        <v>351</v>
      </c>
      <c r="L29" s="39" t="s">
        <v>306</v>
      </c>
      <c r="M29" s="3">
        <v>28</v>
      </c>
      <c r="N29" s="3">
        <v>0</v>
      </c>
      <c r="O29" s="3">
        <v>0</v>
      </c>
      <c r="P29" s="3">
        <v>0</v>
      </c>
      <c r="Q29" s="3">
        <v>0</v>
      </c>
      <c r="R29" s="3">
        <v>20</v>
      </c>
      <c r="S29" s="3">
        <v>7</v>
      </c>
      <c r="T29" s="20">
        <v>13</v>
      </c>
      <c r="U29" s="3">
        <v>137</v>
      </c>
      <c r="V29" s="3">
        <v>35</v>
      </c>
      <c r="W29" s="4">
        <v>0.25547445255474499</v>
      </c>
      <c r="X29" s="5">
        <v>2</v>
      </c>
      <c r="Y29" s="6">
        <v>0.5</v>
      </c>
      <c r="Z29" s="6">
        <v>8.8504166666666695</v>
      </c>
      <c r="AA29" s="11">
        <v>40</v>
      </c>
      <c r="AB29" s="3"/>
      <c r="AC29" s="11">
        <v>5</v>
      </c>
    </row>
    <row r="30" spans="1:29" ht="15.5" x14ac:dyDescent="0.35">
      <c r="A30" s="49" t="s">
        <v>362</v>
      </c>
      <c r="B30" s="49">
        <f t="shared" ca="1" si="0"/>
        <v>28</v>
      </c>
      <c r="C30" s="49" t="s">
        <v>373</v>
      </c>
      <c r="D30" s="32" t="s">
        <v>184</v>
      </c>
      <c r="E30" s="3" t="s">
        <v>185</v>
      </c>
      <c r="F30" s="2" t="s">
        <v>29</v>
      </c>
      <c r="G30" s="3">
        <f>U30</f>
        <v>224</v>
      </c>
      <c r="H30" s="3">
        <f>V30</f>
        <v>144</v>
      </c>
      <c r="I30" s="42" t="s">
        <v>308</v>
      </c>
      <c r="J30" s="15" t="s">
        <v>132</v>
      </c>
      <c r="K30" s="50" t="s">
        <v>351</v>
      </c>
      <c r="L30" s="39" t="s">
        <v>307</v>
      </c>
      <c r="M30" s="3">
        <v>28</v>
      </c>
      <c r="N30" s="3">
        <v>0</v>
      </c>
      <c r="O30" s="3">
        <v>0</v>
      </c>
      <c r="P30" s="3">
        <v>1.5</v>
      </c>
      <c r="Q30" s="3">
        <v>1.5</v>
      </c>
      <c r="R30" s="3">
        <v>18.5</v>
      </c>
      <c r="S30" s="3">
        <v>18</v>
      </c>
      <c r="T30" s="20">
        <v>0.5</v>
      </c>
      <c r="U30" s="3">
        <v>224</v>
      </c>
      <c r="V30" s="3">
        <v>144</v>
      </c>
      <c r="W30" s="4">
        <v>0.64285714285714302</v>
      </c>
      <c r="X30" s="5">
        <v>7.9459459459459501</v>
      </c>
      <c r="Y30" s="6">
        <v>0</v>
      </c>
      <c r="Z30" s="6">
        <v>11.717460317460301</v>
      </c>
      <c r="AA30" s="11">
        <v>147</v>
      </c>
      <c r="AB30" s="3"/>
      <c r="AC30" s="11">
        <v>3</v>
      </c>
    </row>
    <row r="31" spans="1:29" ht="15.5" x14ac:dyDescent="0.35">
      <c r="A31" s="49" t="s">
        <v>362</v>
      </c>
      <c r="B31" s="49">
        <f t="shared" ca="1" si="0"/>
        <v>1</v>
      </c>
      <c r="C31" s="49" t="s">
        <v>372</v>
      </c>
      <c r="D31" s="32">
        <v>46032</v>
      </c>
      <c r="E31" s="3">
        <v>2024</v>
      </c>
      <c r="F31" s="1" t="s">
        <v>312</v>
      </c>
      <c r="G31" s="51">
        <v>0</v>
      </c>
      <c r="H31" s="51">
        <v>0</v>
      </c>
      <c r="I31" s="16" t="s">
        <v>34</v>
      </c>
      <c r="J31" s="15" t="s">
        <v>132</v>
      </c>
      <c r="K31" s="50" t="s">
        <v>351</v>
      </c>
      <c r="L31" s="39" t="s">
        <v>310</v>
      </c>
      <c r="M31" s="3">
        <v>28</v>
      </c>
      <c r="N31" s="3">
        <v>0</v>
      </c>
      <c r="O31" s="3">
        <v>1</v>
      </c>
      <c r="P31" s="3">
        <v>1.5</v>
      </c>
      <c r="Q31" s="3">
        <v>2.5</v>
      </c>
      <c r="R31" s="3">
        <v>17.5</v>
      </c>
      <c r="S31" s="3">
        <v>18</v>
      </c>
      <c r="T31" s="3">
        <v>0</v>
      </c>
      <c r="U31" s="3">
        <v>161</v>
      </c>
      <c r="V31" s="3">
        <v>161</v>
      </c>
      <c r="W31" s="4">
        <v>1</v>
      </c>
      <c r="X31" s="5">
        <v>9.3142857142857096</v>
      </c>
      <c r="Y31" s="6">
        <v>0.97546012269938698</v>
      </c>
      <c r="Z31" s="6">
        <v>10.4944785276074</v>
      </c>
      <c r="AA31" s="11">
        <v>163</v>
      </c>
      <c r="AB31" s="3"/>
      <c r="AC31" s="11">
        <v>2</v>
      </c>
    </row>
    <row r="32" spans="1:29" ht="15.5" x14ac:dyDescent="0.35">
      <c r="A32" s="49" t="s">
        <v>362</v>
      </c>
      <c r="B32" s="49">
        <f t="shared" ca="1" si="0"/>
        <v>10</v>
      </c>
      <c r="C32" s="49" t="s">
        <v>373</v>
      </c>
      <c r="D32" s="32" t="s">
        <v>189</v>
      </c>
      <c r="E32" s="3" t="s">
        <v>190</v>
      </c>
      <c r="F32" s="22" t="s">
        <v>137</v>
      </c>
      <c r="G32" s="3">
        <f>U32</f>
        <v>128</v>
      </c>
      <c r="H32" s="3">
        <f>V32</f>
        <v>128</v>
      </c>
      <c r="I32" s="16" t="s">
        <v>34</v>
      </c>
      <c r="J32" s="15" t="s">
        <v>132</v>
      </c>
      <c r="K32" s="50" t="s">
        <v>351</v>
      </c>
      <c r="L32" s="39" t="s">
        <v>311</v>
      </c>
      <c r="M32" s="3">
        <v>28</v>
      </c>
      <c r="N32" s="3">
        <v>0</v>
      </c>
      <c r="O32" s="3">
        <v>1</v>
      </c>
      <c r="P32" s="3">
        <v>1.5</v>
      </c>
      <c r="Q32" s="3">
        <v>2.5</v>
      </c>
      <c r="R32" s="3">
        <v>17.5</v>
      </c>
      <c r="S32" s="3">
        <v>17</v>
      </c>
      <c r="T32" s="20">
        <v>0.5</v>
      </c>
      <c r="U32" s="3">
        <v>128</v>
      </c>
      <c r="V32" s="3">
        <v>128</v>
      </c>
      <c r="W32" s="4">
        <v>1</v>
      </c>
      <c r="X32" s="5">
        <v>7.3714285714285701</v>
      </c>
      <c r="Y32" s="6">
        <v>1.0077519379844999</v>
      </c>
      <c r="Z32" s="6">
        <v>17.7772609819121</v>
      </c>
      <c r="AA32" s="11">
        <v>129</v>
      </c>
      <c r="AB32" s="3"/>
      <c r="AC32" s="11">
        <v>1</v>
      </c>
    </row>
    <row r="33" spans="1:29" ht="15.5" x14ac:dyDescent="0.35">
      <c r="A33" s="49" t="s">
        <v>362</v>
      </c>
      <c r="B33" s="49">
        <f t="shared" ca="1" si="0"/>
        <v>2</v>
      </c>
      <c r="C33" s="49" t="s">
        <v>372</v>
      </c>
      <c r="D33" s="32">
        <v>46023</v>
      </c>
      <c r="E33" s="3">
        <v>2023</v>
      </c>
      <c r="F33" s="1" t="s">
        <v>353</v>
      </c>
      <c r="G33" s="51">
        <v>0</v>
      </c>
      <c r="H33" s="51">
        <v>0</v>
      </c>
      <c r="I33" s="16" t="s">
        <v>34</v>
      </c>
      <c r="J33" s="15" t="s">
        <v>132</v>
      </c>
      <c r="K33" s="50" t="s">
        <v>351</v>
      </c>
      <c r="L33" s="39" t="s">
        <v>313</v>
      </c>
      <c r="M33" s="3">
        <v>28</v>
      </c>
      <c r="N33" s="3">
        <v>0</v>
      </c>
      <c r="O33" s="3">
        <v>1</v>
      </c>
      <c r="P33" s="3">
        <v>2</v>
      </c>
      <c r="Q33" s="3">
        <v>3</v>
      </c>
      <c r="R33" s="3">
        <v>17</v>
      </c>
      <c r="S33" s="3">
        <v>18</v>
      </c>
      <c r="T33" s="3">
        <v>0</v>
      </c>
      <c r="U33" s="3">
        <v>146</v>
      </c>
      <c r="V33" s="3">
        <v>119</v>
      </c>
      <c r="W33" s="4">
        <v>0.81506849315068497</v>
      </c>
      <c r="X33" s="5">
        <v>7.0588235294117601</v>
      </c>
      <c r="Y33" s="6">
        <v>1.99166666666667</v>
      </c>
      <c r="Z33" s="6">
        <v>3.8288888888888901</v>
      </c>
      <c r="AA33" s="11">
        <v>120</v>
      </c>
      <c r="AB33" s="3"/>
      <c r="AC33" s="11">
        <v>1</v>
      </c>
    </row>
    <row r="34" spans="1:29" ht="15.5" x14ac:dyDescent="0.35">
      <c r="A34" s="49" t="s">
        <v>362</v>
      </c>
      <c r="B34" s="49">
        <f t="shared" ca="1" si="0"/>
        <v>6</v>
      </c>
      <c r="C34" s="49" t="s">
        <v>373</v>
      </c>
      <c r="D34" s="32" t="s">
        <v>239</v>
      </c>
      <c r="E34" s="3">
        <v>1757</v>
      </c>
      <c r="F34" s="2" t="s">
        <v>243</v>
      </c>
      <c r="G34" s="3">
        <f t="shared" ref="G34:G36" si="13">U34</f>
        <v>129</v>
      </c>
      <c r="H34" s="3">
        <f t="shared" ref="H34:H36" si="14">V34</f>
        <v>122</v>
      </c>
      <c r="I34" s="16" t="s">
        <v>34</v>
      </c>
      <c r="J34" s="15" t="s">
        <v>132</v>
      </c>
      <c r="K34" s="50" t="s">
        <v>351</v>
      </c>
      <c r="L34" s="39" t="s">
        <v>315</v>
      </c>
      <c r="M34" s="3">
        <v>28</v>
      </c>
      <c r="N34" s="3">
        <v>0</v>
      </c>
      <c r="O34" s="3">
        <v>2</v>
      </c>
      <c r="P34" s="3">
        <v>1.5</v>
      </c>
      <c r="Q34" s="3">
        <v>3.5</v>
      </c>
      <c r="R34" s="3">
        <v>16.5</v>
      </c>
      <c r="S34" s="3">
        <v>17</v>
      </c>
      <c r="T34" s="3">
        <v>0</v>
      </c>
      <c r="U34" s="3">
        <v>129</v>
      </c>
      <c r="V34" s="3">
        <v>122</v>
      </c>
      <c r="W34" s="4">
        <v>0.94573643410852704</v>
      </c>
      <c r="X34" s="5">
        <v>7.39393939393939</v>
      </c>
      <c r="Y34" s="6">
        <v>0</v>
      </c>
      <c r="Z34" s="6">
        <v>24.521174863388001</v>
      </c>
      <c r="AA34" s="11">
        <v>122</v>
      </c>
      <c r="AB34" s="3"/>
      <c r="AC34" s="11">
        <v>0</v>
      </c>
    </row>
    <row r="35" spans="1:29" ht="15.5" x14ac:dyDescent="0.35">
      <c r="A35" s="49" t="s">
        <v>362</v>
      </c>
      <c r="B35" s="49">
        <f t="shared" ca="1" si="0"/>
        <v>26</v>
      </c>
      <c r="C35" s="49" t="s">
        <v>373</v>
      </c>
      <c r="D35" s="32" t="s">
        <v>144</v>
      </c>
      <c r="E35" s="3" t="s">
        <v>192</v>
      </c>
      <c r="F35" s="2" t="s">
        <v>91</v>
      </c>
      <c r="G35" s="3">
        <f t="shared" si="13"/>
        <v>135</v>
      </c>
      <c r="H35" s="3">
        <f t="shared" si="14"/>
        <v>129</v>
      </c>
      <c r="I35" s="16" t="s">
        <v>34</v>
      </c>
      <c r="J35" s="15" t="s">
        <v>132</v>
      </c>
      <c r="K35" s="50" t="s">
        <v>351</v>
      </c>
      <c r="L35" s="43" t="s">
        <v>251</v>
      </c>
      <c r="M35" s="3">
        <v>28</v>
      </c>
      <c r="N35" s="3">
        <v>0</v>
      </c>
      <c r="O35" s="3">
        <v>2</v>
      </c>
      <c r="P35" s="3">
        <v>3.5</v>
      </c>
      <c r="Q35" s="3">
        <v>5.5</v>
      </c>
      <c r="R35" s="3">
        <v>14.5</v>
      </c>
      <c r="S35" s="3">
        <v>14</v>
      </c>
      <c r="T35" s="20">
        <v>0.5</v>
      </c>
      <c r="U35" s="3">
        <v>135</v>
      </c>
      <c r="V35" s="3">
        <v>129</v>
      </c>
      <c r="W35" s="4">
        <v>0.95555555555555605</v>
      </c>
      <c r="X35" s="5">
        <v>8.8965517241379306</v>
      </c>
      <c r="Y35" s="6">
        <v>0</v>
      </c>
      <c r="Z35" s="6">
        <v>37.735529715762297</v>
      </c>
      <c r="AA35" s="11">
        <v>129</v>
      </c>
      <c r="AB35" s="3"/>
      <c r="AC35" s="11">
        <v>0</v>
      </c>
    </row>
    <row r="36" spans="1:29" ht="15.5" x14ac:dyDescent="0.35">
      <c r="A36" s="49" t="s">
        <v>362</v>
      </c>
      <c r="B36" s="49">
        <f t="shared" ca="1" si="0"/>
        <v>33</v>
      </c>
      <c r="C36" s="49" t="s">
        <v>373</v>
      </c>
      <c r="D36" s="32" t="s">
        <v>193</v>
      </c>
      <c r="E36" s="3" t="s">
        <v>194</v>
      </c>
      <c r="F36" s="2" t="s">
        <v>32</v>
      </c>
      <c r="G36" s="3">
        <f t="shared" si="13"/>
        <v>141</v>
      </c>
      <c r="H36" s="3">
        <f t="shared" si="14"/>
        <v>121</v>
      </c>
      <c r="I36" s="16" t="s">
        <v>34</v>
      </c>
      <c r="J36" s="15" t="s">
        <v>132</v>
      </c>
      <c r="K36" s="50" t="s">
        <v>351</v>
      </c>
      <c r="L36" s="43" t="s">
        <v>252</v>
      </c>
      <c r="M36" s="3">
        <v>28</v>
      </c>
      <c r="N36" s="3">
        <v>0</v>
      </c>
      <c r="O36" s="3">
        <v>2</v>
      </c>
      <c r="P36" s="3">
        <v>1.5</v>
      </c>
      <c r="Q36" s="3">
        <v>3.5</v>
      </c>
      <c r="R36" s="3">
        <v>16.5</v>
      </c>
      <c r="S36" s="3">
        <v>17</v>
      </c>
      <c r="T36" s="3">
        <v>0</v>
      </c>
      <c r="U36" s="3">
        <v>141</v>
      </c>
      <c r="V36" s="3">
        <v>121</v>
      </c>
      <c r="W36" s="4">
        <v>0.85815602836879401</v>
      </c>
      <c r="X36" s="5">
        <v>7.3333333333333304</v>
      </c>
      <c r="Y36" s="6">
        <v>9.9173553719008295E-2</v>
      </c>
      <c r="Z36" s="6">
        <v>11.5619834710744</v>
      </c>
      <c r="AA36" s="11">
        <v>121</v>
      </c>
      <c r="AB36" s="3"/>
      <c r="AC36" s="11">
        <v>0</v>
      </c>
    </row>
    <row r="37" spans="1:29" ht="15.5" x14ac:dyDescent="0.35">
      <c r="A37" s="49" t="s">
        <v>362</v>
      </c>
      <c r="B37" s="49">
        <f t="shared" ca="1" si="0"/>
        <v>1</v>
      </c>
      <c r="C37" s="49" t="s">
        <v>372</v>
      </c>
      <c r="D37" s="32">
        <v>46032</v>
      </c>
      <c r="E37" s="3">
        <v>2092</v>
      </c>
      <c r="F37" s="1" t="s">
        <v>316</v>
      </c>
      <c r="G37" s="51">
        <v>0</v>
      </c>
      <c r="H37" s="51">
        <v>0</v>
      </c>
      <c r="I37" s="16" t="s">
        <v>34</v>
      </c>
      <c r="J37" s="15" t="s">
        <v>132</v>
      </c>
      <c r="K37" s="50" t="s">
        <v>351</v>
      </c>
      <c r="L37" s="43" t="s">
        <v>253</v>
      </c>
      <c r="M37" s="3">
        <v>28</v>
      </c>
      <c r="N37" s="3">
        <v>0</v>
      </c>
      <c r="O37" s="3">
        <v>0</v>
      </c>
      <c r="P37" s="3">
        <v>2.5</v>
      </c>
      <c r="Q37" s="3">
        <v>2.5</v>
      </c>
      <c r="R37" s="3">
        <v>17.5</v>
      </c>
      <c r="S37" s="3">
        <v>18</v>
      </c>
      <c r="T37" s="3">
        <v>0</v>
      </c>
      <c r="U37" s="3">
        <v>149</v>
      </c>
      <c r="V37" s="3">
        <v>144</v>
      </c>
      <c r="W37" s="4">
        <v>0.96644295302013405</v>
      </c>
      <c r="X37" s="5">
        <v>8.8571428571428594</v>
      </c>
      <c r="Y37" s="6">
        <v>1.98064516129032</v>
      </c>
      <c r="Z37" s="6">
        <v>7.7082795698924702</v>
      </c>
      <c r="AA37" s="11">
        <v>155</v>
      </c>
      <c r="AB37" s="3"/>
      <c r="AC37" s="11">
        <v>11</v>
      </c>
    </row>
    <row r="38" spans="1:29" ht="15.5" x14ac:dyDescent="0.35">
      <c r="A38" s="49" t="s">
        <v>362</v>
      </c>
      <c r="B38" s="49">
        <f t="shared" ca="1" si="0"/>
        <v>33</v>
      </c>
      <c r="C38" s="49" t="s">
        <v>373</v>
      </c>
      <c r="D38" s="32" t="s">
        <v>199</v>
      </c>
      <c r="E38" s="3" t="s">
        <v>200</v>
      </c>
      <c r="F38" s="2" t="s">
        <v>23</v>
      </c>
      <c r="G38" s="3">
        <f t="shared" ref="G38:G39" si="15">U38</f>
        <v>151</v>
      </c>
      <c r="H38" s="3">
        <f t="shared" ref="H38:H39" si="16">V38</f>
        <v>126</v>
      </c>
      <c r="I38" s="42" t="s">
        <v>219</v>
      </c>
      <c r="J38" s="15" t="s">
        <v>132</v>
      </c>
      <c r="K38" s="50" t="s">
        <v>351</v>
      </c>
      <c r="L38" s="39" t="s">
        <v>319</v>
      </c>
      <c r="M38" s="3">
        <v>28</v>
      </c>
      <c r="N38" s="3">
        <v>0</v>
      </c>
      <c r="O38" s="3">
        <v>2</v>
      </c>
      <c r="P38" s="3">
        <v>0</v>
      </c>
      <c r="Q38" s="3">
        <v>2</v>
      </c>
      <c r="R38" s="3">
        <v>18</v>
      </c>
      <c r="S38" s="3">
        <v>17</v>
      </c>
      <c r="T38" s="20">
        <v>1</v>
      </c>
      <c r="U38" s="3">
        <v>151</v>
      </c>
      <c r="V38" s="3">
        <v>126</v>
      </c>
      <c r="W38" s="4">
        <v>0.83443708609271505</v>
      </c>
      <c r="X38" s="5">
        <v>7.2777777777777803</v>
      </c>
      <c r="Y38" s="6">
        <v>1.9312977099236599</v>
      </c>
      <c r="Z38" s="6">
        <v>13.690076335877899</v>
      </c>
      <c r="AA38" s="11">
        <v>131</v>
      </c>
      <c r="AB38" s="3"/>
      <c r="AC38" s="11">
        <v>5</v>
      </c>
    </row>
    <row r="39" spans="1:29" ht="15.5" x14ac:dyDescent="0.35">
      <c r="A39" s="49" t="s">
        <v>362</v>
      </c>
      <c r="B39" s="49">
        <f t="shared" ca="1" si="0"/>
        <v>24</v>
      </c>
      <c r="C39" s="49" t="s">
        <v>373</v>
      </c>
      <c r="D39" s="32" t="s">
        <v>201</v>
      </c>
      <c r="E39" s="3" t="s">
        <v>202</v>
      </c>
      <c r="F39" s="2" t="s">
        <v>99</v>
      </c>
      <c r="G39" s="3">
        <f t="shared" si="15"/>
        <v>156</v>
      </c>
      <c r="H39" s="3">
        <f t="shared" si="16"/>
        <v>140</v>
      </c>
      <c r="I39" s="42" t="s">
        <v>219</v>
      </c>
      <c r="J39" s="15" t="s">
        <v>132</v>
      </c>
      <c r="K39" s="50" t="s">
        <v>351</v>
      </c>
      <c r="L39" s="39" t="s">
        <v>321</v>
      </c>
      <c r="M39" s="3">
        <v>28</v>
      </c>
      <c r="N39" s="3">
        <v>0</v>
      </c>
      <c r="O39" s="3">
        <v>1</v>
      </c>
      <c r="P39" s="3">
        <v>0</v>
      </c>
      <c r="Q39" s="3">
        <v>1</v>
      </c>
      <c r="R39" s="3">
        <v>19</v>
      </c>
      <c r="S39" s="3">
        <v>16</v>
      </c>
      <c r="T39" s="20">
        <v>3</v>
      </c>
      <c r="U39" s="3">
        <v>156</v>
      </c>
      <c r="V39" s="3">
        <v>140</v>
      </c>
      <c r="W39" s="4">
        <v>0.89743589743589702</v>
      </c>
      <c r="X39" s="5">
        <v>7.5789473684210504</v>
      </c>
      <c r="Y39" s="6">
        <v>0</v>
      </c>
      <c r="Z39" s="6">
        <v>7.4291666666666698</v>
      </c>
      <c r="AA39" s="11">
        <v>144</v>
      </c>
      <c r="AB39" s="3"/>
      <c r="AC39" s="11">
        <v>4</v>
      </c>
    </row>
    <row r="40" spans="1:29" ht="15.5" x14ac:dyDescent="0.35">
      <c r="A40" s="49" t="s">
        <v>362</v>
      </c>
      <c r="B40" s="49">
        <f t="shared" ca="1" si="0"/>
        <v>0</v>
      </c>
      <c r="C40" s="49" t="s">
        <v>372</v>
      </c>
      <c r="D40" s="32">
        <v>46066</v>
      </c>
      <c r="E40" s="3">
        <v>2132</v>
      </c>
      <c r="F40" s="1" t="s">
        <v>359</v>
      </c>
      <c r="G40" s="51">
        <v>0</v>
      </c>
      <c r="H40" s="51">
        <v>0</v>
      </c>
      <c r="I40" s="42" t="s">
        <v>219</v>
      </c>
      <c r="J40" s="15" t="s">
        <v>132</v>
      </c>
      <c r="K40" s="50" t="s">
        <v>351</v>
      </c>
      <c r="L40" s="39" t="s">
        <v>322</v>
      </c>
      <c r="M40" s="3">
        <v>28</v>
      </c>
      <c r="N40" s="3">
        <v>0</v>
      </c>
      <c r="O40" s="3">
        <v>0</v>
      </c>
      <c r="P40" s="3">
        <v>0</v>
      </c>
      <c r="Q40" s="3">
        <v>0</v>
      </c>
      <c r="R40" s="3">
        <v>20</v>
      </c>
      <c r="S40" s="3">
        <v>1</v>
      </c>
      <c r="T40" s="20">
        <v>19</v>
      </c>
      <c r="U40" s="3">
        <v>168</v>
      </c>
      <c r="V40" s="3">
        <v>5</v>
      </c>
      <c r="W40" s="4">
        <v>2.9761904761904798E-2</v>
      </c>
      <c r="X40" s="5">
        <v>0.3</v>
      </c>
      <c r="Y40" s="6">
        <v>0.33333333333333298</v>
      </c>
      <c r="Z40" s="6">
        <v>3.6527777777777799</v>
      </c>
      <c r="AA40" s="11">
        <v>6</v>
      </c>
      <c r="AB40" s="3"/>
      <c r="AC40" s="11">
        <v>1</v>
      </c>
    </row>
    <row r="41" spans="1:29" ht="15.5" x14ac:dyDescent="0.35">
      <c r="A41" s="49" t="s">
        <v>362</v>
      </c>
      <c r="B41" s="49">
        <f t="shared" ca="1" si="0"/>
        <v>2</v>
      </c>
      <c r="C41" s="49" t="s">
        <v>372</v>
      </c>
      <c r="D41" s="32">
        <v>46023</v>
      </c>
      <c r="E41" s="3">
        <v>2009</v>
      </c>
      <c r="F41" s="1" t="s">
        <v>330</v>
      </c>
      <c r="G41" s="51">
        <v>0</v>
      </c>
      <c r="H41" s="51">
        <v>0</v>
      </c>
      <c r="I41" s="27" t="s">
        <v>367</v>
      </c>
      <c r="J41" s="15" t="s">
        <v>132</v>
      </c>
      <c r="K41" s="50" t="s">
        <v>351</v>
      </c>
      <c r="L41" s="39" t="s">
        <v>328</v>
      </c>
      <c r="M41" s="3">
        <v>28</v>
      </c>
      <c r="N41" s="3">
        <v>0</v>
      </c>
      <c r="O41" s="3">
        <v>1</v>
      </c>
      <c r="P41" s="3">
        <v>1.5</v>
      </c>
      <c r="Q41" s="3">
        <v>2.5</v>
      </c>
      <c r="R41" s="3">
        <v>17.5</v>
      </c>
      <c r="S41" s="3">
        <v>18</v>
      </c>
      <c r="T41" s="3">
        <v>0</v>
      </c>
      <c r="U41" s="3">
        <v>213</v>
      </c>
      <c r="V41" s="3">
        <v>164</v>
      </c>
      <c r="W41" s="4">
        <v>0.76995305164319205</v>
      </c>
      <c r="X41" s="5">
        <v>9.3714285714285701</v>
      </c>
      <c r="Y41" s="6">
        <v>1.93292682926829</v>
      </c>
      <c r="Z41" s="6">
        <v>5.33821138211382</v>
      </c>
      <c r="AA41" s="11">
        <v>164</v>
      </c>
      <c r="AB41" s="3"/>
      <c r="AC41" s="11">
        <v>0</v>
      </c>
    </row>
    <row r="42" spans="1:29" ht="15.5" x14ac:dyDescent="0.35">
      <c r="A42" s="49" t="s">
        <v>362</v>
      </c>
      <c r="B42" s="49">
        <f t="shared" ca="1" si="0"/>
        <v>7</v>
      </c>
      <c r="C42" s="49" t="s">
        <v>373</v>
      </c>
      <c r="D42" s="32" t="s">
        <v>236</v>
      </c>
      <c r="E42" s="3" t="s">
        <v>237</v>
      </c>
      <c r="F42" s="2" t="s">
        <v>238</v>
      </c>
      <c r="G42" s="3">
        <f t="shared" ref="G42:G43" si="17">U42</f>
        <v>192</v>
      </c>
      <c r="H42" s="3">
        <f t="shared" ref="H42:H43" si="18">V42</f>
        <v>169</v>
      </c>
      <c r="I42" s="27" t="s">
        <v>367</v>
      </c>
      <c r="J42" s="15" t="s">
        <v>132</v>
      </c>
      <c r="K42" s="50" t="s">
        <v>351</v>
      </c>
      <c r="L42" s="39" t="s">
        <v>329</v>
      </c>
      <c r="M42" s="3">
        <v>28</v>
      </c>
      <c r="N42" s="3">
        <v>0</v>
      </c>
      <c r="O42" s="3">
        <v>1</v>
      </c>
      <c r="P42" s="3">
        <v>2.5</v>
      </c>
      <c r="Q42" s="3">
        <v>3.5</v>
      </c>
      <c r="R42" s="3">
        <v>16.5</v>
      </c>
      <c r="S42" s="3">
        <v>18</v>
      </c>
      <c r="T42" s="3">
        <v>0</v>
      </c>
      <c r="U42" s="3">
        <v>192</v>
      </c>
      <c r="V42" s="3">
        <v>169</v>
      </c>
      <c r="W42" s="4">
        <v>0.88020833333333304</v>
      </c>
      <c r="X42" s="5">
        <v>10.2424242424242</v>
      </c>
      <c r="Y42" s="6">
        <v>1.0118343195266299</v>
      </c>
      <c r="Z42" s="6">
        <v>19.618145956607499</v>
      </c>
      <c r="AA42" s="11">
        <v>169</v>
      </c>
      <c r="AB42" s="3"/>
      <c r="AC42" s="11">
        <v>0</v>
      </c>
    </row>
    <row r="43" spans="1:29" ht="15.5" x14ac:dyDescent="0.35">
      <c r="A43" s="49" t="s">
        <v>362</v>
      </c>
      <c r="B43" s="49">
        <f t="shared" ca="1" si="0"/>
        <v>31</v>
      </c>
      <c r="C43" s="49" t="s">
        <v>373</v>
      </c>
      <c r="D43" s="32" t="s">
        <v>210</v>
      </c>
      <c r="E43" s="3" t="s">
        <v>211</v>
      </c>
      <c r="F43" s="2" t="s">
        <v>36</v>
      </c>
      <c r="G43" s="3">
        <f t="shared" si="17"/>
        <v>172</v>
      </c>
      <c r="H43" s="3">
        <f t="shared" si="18"/>
        <v>170</v>
      </c>
      <c r="I43" s="27" t="s">
        <v>367</v>
      </c>
      <c r="J43" s="15" t="s">
        <v>132</v>
      </c>
      <c r="K43" s="50" t="s">
        <v>351</v>
      </c>
      <c r="L43" s="39" t="s">
        <v>332</v>
      </c>
      <c r="M43" s="3">
        <v>28</v>
      </c>
      <c r="N43" s="3">
        <v>0</v>
      </c>
      <c r="O43" s="3">
        <v>2</v>
      </c>
      <c r="P43" s="3">
        <v>2.5</v>
      </c>
      <c r="Q43" s="3">
        <v>4.5</v>
      </c>
      <c r="R43" s="3">
        <v>15.5</v>
      </c>
      <c r="S43" s="3">
        <v>17</v>
      </c>
      <c r="T43" s="3">
        <v>0</v>
      </c>
      <c r="U43" s="3">
        <v>172</v>
      </c>
      <c r="V43" s="3">
        <v>170</v>
      </c>
      <c r="W43" s="4">
        <v>0.98837209302325602</v>
      </c>
      <c r="X43" s="5">
        <v>10.9677419354839</v>
      </c>
      <c r="Y43" s="6">
        <v>1.9294117647058799</v>
      </c>
      <c r="Z43" s="6">
        <v>22.1271568627451</v>
      </c>
      <c r="AA43" s="11">
        <v>170</v>
      </c>
      <c r="AB43" s="3"/>
      <c r="AC43" s="11">
        <v>0</v>
      </c>
    </row>
    <row r="44" spans="1:29" ht="15.5" x14ac:dyDescent="0.35">
      <c r="A44" s="49" t="s">
        <v>362</v>
      </c>
      <c r="B44" s="49">
        <f t="shared" ca="1" si="0"/>
        <v>2</v>
      </c>
      <c r="C44" s="49" t="s">
        <v>372</v>
      </c>
      <c r="D44" s="32">
        <v>46023</v>
      </c>
      <c r="E44" s="3">
        <v>2010</v>
      </c>
      <c r="F44" s="1" t="s">
        <v>327</v>
      </c>
      <c r="G44" s="51">
        <v>0</v>
      </c>
      <c r="H44" s="51">
        <v>0</v>
      </c>
      <c r="I44" s="27" t="s">
        <v>367</v>
      </c>
      <c r="J44" s="15" t="s">
        <v>132</v>
      </c>
      <c r="K44" s="50" t="s">
        <v>351</v>
      </c>
      <c r="L44" s="39" t="s">
        <v>326</v>
      </c>
      <c r="M44" s="3">
        <v>28</v>
      </c>
      <c r="N44" s="3">
        <v>0</v>
      </c>
      <c r="O44" s="3">
        <v>0</v>
      </c>
      <c r="P44" s="3">
        <v>0.5</v>
      </c>
      <c r="Q44" s="3">
        <v>0.5</v>
      </c>
      <c r="R44" s="3">
        <v>19.5</v>
      </c>
      <c r="S44" s="3">
        <v>18</v>
      </c>
      <c r="T44" s="20">
        <v>1.5</v>
      </c>
      <c r="U44" s="3">
        <v>256</v>
      </c>
      <c r="V44" s="3">
        <v>131</v>
      </c>
      <c r="W44" s="4">
        <v>0.51171875</v>
      </c>
      <c r="X44" s="5">
        <v>7.5384615384615401</v>
      </c>
      <c r="Y44" s="6">
        <v>0.80272108843537404</v>
      </c>
      <c r="Z44" s="6">
        <v>3.8502267573696098</v>
      </c>
      <c r="AA44" s="11">
        <v>147</v>
      </c>
      <c r="AB44" s="3"/>
      <c r="AC44" s="11">
        <v>16</v>
      </c>
    </row>
    <row r="45" spans="1:29" ht="15.5" x14ac:dyDescent="0.35">
      <c r="A45" s="49" t="s">
        <v>362</v>
      </c>
      <c r="B45" s="49">
        <f t="shared" ca="1" si="0"/>
        <v>67</v>
      </c>
      <c r="C45" s="49" t="s">
        <v>373</v>
      </c>
      <c r="D45" s="32" t="s">
        <v>174</v>
      </c>
      <c r="E45" s="3" t="s">
        <v>204</v>
      </c>
      <c r="F45" s="2" t="s">
        <v>20</v>
      </c>
      <c r="G45" s="3">
        <f t="shared" ref="G45:G46" si="19">U45</f>
        <v>184</v>
      </c>
      <c r="H45" s="3">
        <f t="shared" ref="H45:H46" si="20">V45</f>
        <v>161</v>
      </c>
      <c r="I45" s="27" t="s">
        <v>367</v>
      </c>
      <c r="J45" s="15" t="s">
        <v>132</v>
      </c>
      <c r="K45" s="50" t="s">
        <v>351</v>
      </c>
      <c r="L45" s="39" t="s">
        <v>325</v>
      </c>
      <c r="M45" s="3">
        <v>28</v>
      </c>
      <c r="N45" s="3">
        <v>0</v>
      </c>
      <c r="O45" s="3">
        <v>2</v>
      </c>
      <c r="P45" s="3">
        <v>1.5</v>
      </c>
      <c r="Q45" s="3">
        <v>3.5</v>
      </c>
      <c r="R45" s="3">
        <v>16.5</v>
      </c>
      <c r="S45" s="3">
        <v>17</v>
      </c>
      <c r="T45" s="3">
        <v>0</v>
      </c>
      <c r="U45" s="3">
        <v>184</v>
      </c>
      <c r="V45" s="3">
        <v>161</v>
      </c>
      <c r="W45" s="4">
        <v>0.875</v>
      </c>
      <c r="X45" s="5">
        <v>9.7575757575757596</v>
      </c>
      <c r="Y45" s="6">
        <v>0</v>
      </c>
      <c r="Z45" s="6">
        <v>8.6108695652173903</v>
      </c>
      <c r="AA45" s="11">
        <v>161</v>
      </c>
      <c r="AB45" s="3"/>
      <c r="AC45" s="11">
        <v>0</v>
      </c>
    </row>
    <row r="46" spans="1:29" ht="15.5" x14ac:dyDescent="0.35">
      <c r="A46" s="49" t="s">
        <v>362</v>
      </c>
      <c r="B46" s="49">
        <f t="shared" ca="1" si="0"/>
        <v>6</v>
      </c>
      <c r="C46" s="49" t="s">
        <v>373</v>
      </c>
      <c r="D46" s="32" t="s">
        <v>239</v>
      </c>
      <c r="E46" s="3" t="s">
        <v>240</v>
      </c>
      <c r="F46" s="2" t="s">
        <v>241</v>
      </c>
      <c r="G46" s="3">
        <f t="shared" si="19"/>
        <v>201</v>
      </c>
      <c r="H46" s="3">
        <f t="shared" si="20"/>
        <v>172</v>
      </c>
      <c r="I46" s="16" t="s">
        <v>40</v>
      </c>
      <c r="J46" s="15" t="s">
        <v>132</v>
      </c>
      <c r="K46" s="50" t="s">
        <v>351</v>
      </c>
      <c r="L46" s="39" t="s">
        <v>336</v>
      </c>
      <c r="M46" s="3">
        <v>28</v>
      </c>
      <c r="N46" s="3">
        <v>0</v>
      </c>
      <c r="O46" s="3">
        <v>0</v>
      </c>
      <c r="P46" s="3">
        <v>1.5</v>
      </c>
      <c r="Q46" s="3">
        <v>1.5</v>
      </c>
      <c r="R46" s="3">
        <v>18.5</v>
      </c>
      <c r="S46" s="3">
        <v>17</v>
      </c>
      <c r="T46" s="20">
        <v>1.5</v>
      </c>
      <c r="U46" s="3">
        <v>201</v>
      </c>
      <c r="V46" s="3">
        <v>172</v>
      </c>
      <c r="W46" s="4">
        <v>0.85572139303482597</v>
      </c>
      <c r="X46" s="5">
        <v>9.3513513513513509</v>
      </c>
      <c r="Y46" s="6">
        <v>0</v>
      </c>
      <c r="Z46" s="6">
        <v>49.7766859344894</v>
      </c>
      <c r="AA46" s="11">
        <v>173</v>
      </c>
      <c r="AB46" s="3"/>
      <c r="AC46" s="11">
        <v>1</v>
      </c>
    </row>
    <row r="47" spans="1:29" ht="15.5" x14ac:dyDescent="0.35">
      <c r="A47" s="49" t="s">
        <v>362</v>
      </c>
      <c r="B47" s="49">
        <f t="shared" ca="1" si="0"/>
        <v>1</v>
      </c>
      <c r="C47" s="49" t="s">
        <v>372</v>
      </c>
      <c r="D47" s="32">
        <v>46060</v>
      </c>
      <c r="E47" s="3">
        <v>2130</v>
      </c>
      <c r="F47" s="1" t="s">
        <v>360</v>
      </c>
      <c r="G47" s="51">
        <v>0</v>
      </c>
      <c r="H47" s="51">
        <v>0</v>
      </c>
      <c r="I47" s="16" t="s">
        <v>40</v>
      </c>
      <c r="J47" s="15" t="s">
        <v>132</v>
      </c>
      <c r="K47" s="50" t="s">
        <v>351</v>
      </c>
      <c r="L47" s="39" t="s">
        <v>337</v>
      </c>
      <c r="M47" s="3">
        <v>28</v>
      </c>
      <c r="N47" s="3">
        <v>0</v>
      </c>
      <c r="O47" s="3">
        <v>0</v>
      </c>
      <c r="P47" s="3">
        <v>0</v>
      </c>
      <c r="Q47" s="3">
        <v>0</v>
      </c>
      <c r="R47" s="3">
        <v>20</v>
      </c>
      <c r="S47" s="3">
        <v>5</v>
      </c>
      <c r="T47" s="20">
        <v>15</v>
      </c>
      <c r="U47" s="3">
        <v>194</v>
      </c>
      <c r="V47" s="3">
        <v>34</v>
      </c>
      <c r="W47" s="4">
        <v>0.17525773195876301</v>
      </c>
      <c r="X47" s="5">
        <v>1.75</v>
      </c>
      <c r="Y47" s="6">
        <v>0</v>
      </c>
      <c r="Z47" s="6">
        <v>5.4361904761904798</v>
      </c>
      <c r="AA47" s="11">
        <v>35</v>
      </c>
      <c r="AB47" s="3"/>
      <c r="AC47" s="11">
        <v>1</v>
      </c>
    </row>
    <row r="48" spans="1:29" ht="15.5" x14ac:dyDescent="0.35">
      <c r="A48" s="49" t="s">
        <v>362</v>
      </c>
      <c r="B48" s="49">
        <f t="shared" ca="1" si="0"/>
        <v>26</v>
      </c>
      <c r="C48" s="49" t="s">
        <v>372</v>
      </c>
      <c r="D48" s="32" t="s">
        <v>144</v>
      </c>
      <c r="E48" s="3" t="s">
        <v>213</v>
      </c>
      <c r="F48" s="31" t="s">
        <v>111</v>
      </c>
      <c r="G48" s="53">
        <v>0</v>
      </c>
      <c r="H48" s="53">
        <v>0</v>
      </c>
      <c r="I48" s="16" t="s">
        <v>40</v>
      </c>
      <c r="J48" s="15" t="s">
        <v>132</v>
      </c>
      <c r="K48" s="50" t="s">
        <v>351</v>
      </c>
      <c r="L48" s="39" t="s">
        <v>334</v>
      </c>
      <c r="M48" s="3">
        <v>28</v>
      </c>
      <c r="N48" s="3">
        <v>0</v>
      </c>
      <c r="O48" s="3">
        <v>0</v>
      </c>
      <c r="P48" s="3">
        <v>0.5</v>
      </c>
      <c r="Q48" s="3">
        <v>0.5</v>
      </c>
      <c r="R48" s="3">
        <v>19.5</v>
      </c>
      <c r="S48" s="3">
        <v>20</v>
      </c>
      <c r="T48" s="3">
        <v>0</v>
      </c>
      <c r="U48" s="3">
        <v>204</v>
      </c>
      <c r="V48" s="3">
        <v>172</v>
      </c>
      <c r="W48" s="4">
        <v>0.84313725490196101</v>
      </c>
      <c r="X48" s="5">
        <v>8.8205128205128194</v>
      </c>
      <c r="Y48" s="6">
        <v>5.8139534883720903E-3</v>
      </c>
      <c r="Z48" s="6">
        <v>32.028391472868201</v>
      </c>
      <c r="AA48" s="11">
        <v>172</v>
      </c>
      <c r="AB48" s="40"/>
      <c r="AC48" s="11">
        <v>0</v>
      </c>
    </row>
    <row r="49" spans="1:29" ht="15.5" x14ac:dyDescent="0.35">
      <c r="A49" s="49" t="s">
        <v>362</v>
      </c>
      <c r="B49" s="49">
        <f t="shared" ca="1" si="0"/>
        <v>2</v>
      </c>
      <c r="C49" s="49" t="s">
        <v>372</v>
      </c>
      <c r="D49" s="32">
        <v>46025</v>
      </c>
      <c r="E49" s="3">
        <v>2022</v>
      </c>
      <c r="F49" s="1" t="s">
        <v>345</v>
      </c>
      <c r="G49" s="51">
        <v>0</v>
      </c>
      <c r="H49" s="51">
        <v>0</v>
      </c>
      <c r="I49" s="16" t="s">
        <v>40</v>
      </c>
      <c r="J49" s="15" t="s">
        <v>132</v>
      </c>
      <c r="K49" s="50" t="s">
        <v>351</v>
      </c>
      <c r="L49" s="39" t="s">
        <v>335</v>
      </c>
      <c r="M49" s="3">
        <v>28</v>
      </c>
      <c r="N49" s="3">
        <v>0</v>
      </c>
      <c r="O49" s="3">
        <v>0</v>
      </c>
      <c r="P49" s="3">
        <v>1.5</v>
      </c>
      <c r="Q49" s="3">
        <v>1.5</v>
      </c>
      <c r="R49" s="3">
        <v>18.5</v>
      </c>
      <c r="S49" s="3">
        <v>16</v>
      </c>
      <c r="T49" s="20">
        <v>2.5</v>
      </c>
      <c r="U49" s="3">
        <v>201</v>
      </c>
      <c r="V49" s="3">
        <v>122</v>
      </c>
      <c r="W49" s="4">
        <v>0.60696517412935302</v>
      </c>
      <c r="X49" s="5">
        <v>6.5945945945945903</v>
      </c>
      <c r="Y49" s="6">
        <v>1.63934426229508E-2</v>
      </c>
      <c r="Z49" s="6">
        <v>9.6163934426229503</v>
      </c>
      <c r="AA49" s="11">
        <v>122</v>
      </c>
      <c r="AB49" s="40"/>
      <c r="AC49" s="11">
        <v>0</v>
      </c>
    </row>
    <row r="50" spans="1:29" ht="15.5" x14ac:dyDescent="0.35">
      <c r="A50" s="49" t="s">
        <v>362</v>
      </c>
      <c r="B50" s="49">
        <f t="shared" ca="1" si="0"/>
        <v>26</v>
      </c>
      <c r="C50" s="49" t="s">
        <v>373</v>
      </c>
      <c r="D50" s="32" t="s">
        <v>144</v>
      </c>
      <c r="E50" s="3" t="s">
        <v>215</v>
      </c>
      <c r="F50" s="2" t="s">
        <v>113</v>
      </c>
      <c r="G50" s="3">
        <f>U50</f>
        <v>210</v>
      </c>
      <c r="H50" s="3">
        <f>V50</f>
        <v>157</v>
      </c>
      <c r="I50" s="16" t="s">
        <v>40</v>
      </c>
      <c r="J50" s="15" t="s">
        <v>132</v>
      </c>
      <c r="K50" s="50" t="s">
        <v>351</v>
      </c>
      <c r="L50" s="39" t="s">
        <v>338</v>
      </c>
      <c r="M50" s="3">
        <v>28</v>
      </c>
      <c r="N50" s="3">
        <v>0</v>
      </c>
      <c r="O50" s="3">
        <v>0</v>
      </c>
      <c r="P50" s="3">
        <v>2</v>
      </c>
      <c r="Q50" s="3">
        <v>2</v>
      </c>
      <c r="R50" s="3">
        <v>18</v>
      </c>
      <c r="S50" s="3">
        <v>17</v>
      </c>
      <c r="T50" s="20">
        <v>1</v>
      </c>
      <c r="U50" s="3">
        <v>210</v>
      </c>
      <c r="V50" s="3">
        <v>157</v>
      </c>
      <c r="W50" s="4">
        <v>0.74761904761904796</v>
      </c>
      <c r="X50" s="5">
        <v>8.7222222222222197</v>
      </c>
      <c r="Y50" s="6">
        <v>1.45859872611465</v>
      </c>
      <c r="Z50" s="6">
        <v>20.741507430997899</v>
      </c>
      <c r="AA50" s="11">
        <v>157</v>
      </c>
      <c r="AB50" s="40"/>
      <c r="AC50" s="11">
        <v>0</v>
      </c>
    </row>
  </sheetData>
  <autoFilter ref="A1:AC50" xr:uid="{4D8AA7CE-EFCC-44F8-A3EA-0C2D81F5F609}"/>
  <mergeCells count="29">
    <mergeCell ref="Q1:Q2"/>
    <mergeCell ref="R1:R2"/>
    <mergeCell ref="S1:S2"/>
    <mergeCell ref="A1:A2"/>
    <mergeCell ref="D1:D2"/>
    <mergeCell ref="E1:E2"/>
    <mergeCell ref="F1:F2"/>
    <mergeCell ref="L1:L2"/>
    <mergeCell ref="M1:M2"/>
    <mergeCell ref="B1:B2"/>
    <mergeCell ref="C1:C2"/>
    <mergeCell ref="G1:G2"/>
    <mergeCell ref="H1:H2"/>
    <mergeCell ref="Z1:Z2"/>
    <mergeCell ref="AA1:AA2"/>
    <mergeCell ref="AB1:AB2"/>
    <mergeCell ref="AC1:AC2"/>
    <mergeCell ref="I1:I2"/>
    <mergeCell ref="J1:J2"/>
    <mergeCell ref="K1:K2"/>
    <mergeCell ref="T1:T2"/>
    <mergeCell ref="U1:U2"/>
    <mergeCell ref="V1:V2"/>
    <mergeCell ref="W1:W2"/>
    <mergeCell ref="X1:X2"/>
    <mergeCell ref="Y1:Y2"/>
    <mergeCell ref="N1:N2"/>
    <mergeCell ref="O1:O2"/>
    <mergeCell ref="P1:P2"/>
  </mergeCells>
  <conditionalFormatting sqref="G1:K2">
    <cfRule type="cellIs" dxfId="2" priority="1" operator="equal">
      <formula>"No"</formula>
    </cfRule>
  </conditionalFormatting>
  <conditionalFormatting sqref="K3:K50">
    <cfRule type="cellIs" dxfId="1" priority="3" operator="equal">
      <formula>"No"</formula>
    </cfRule>
  </conditionalFormatting>
  <conditionalFormatting sqref="W1:W5 W7:W8 W10 W13:W14 W17 W20:W21 W23:W24 W30 W32 W34:W36 W38:W39 W42:W43 W45:W46 W50">
    <cfRule type="cellIs" dxfId="0" priority="4" operator="lessThan">
      <formula>0.85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311B-C93C-4E05-8C28-36563CA338BD}">
  <dimension ref="A1:V67"/>
  <sheetViews>
    <sheetView zoomScale="55" zoomScaleNormal="55" workbookViewId="0">
      <pane xSplit="4" ySplit="2" topLeftCell="E3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14.5" x14ac:dyDescent="0.35"/>
  <cols>
    <col min="1" max="1" width="8.7265625" style="49"/>
    <col min="2" max="2" width="22.6328125" style="34" customWidth="1"/>
    <col min="4" max="4" width="34.1796875" customWidth="1"/>
    <col min="5" max="5" width="40.81640625" style="29" customWidth="1"/>
    <col min="6" max="6" width="9.1796875" style="7"/>
    <col min="7" max="7" width="8.453125" style="7" customWidth="1"/>
    <col min="8" max="8" width="8" style="7" customWidth="1"/>
    <col min="9" max="9" width="7.7265625" style="7" customWidth="1"/>
    <col min="10" max="10" width="14.54296875" style="7" customWidth="1"/>
    <col min="11" max="11" width="11.54296875" style="7" customWidth="1"/>
    <col min="12" max="12" width="11" style="7" customWidth="1"/>
    <col min="13" max="13" width="10.1796875" style="7" customWidth="1"/>
    <col min="14" max="14" width="8.7265625" style="7" customWidth="1"/>
    <col min="15" max="15" width="11.36328125" style="7" customWidth="1"/>
    <col min="16" max="16" width="14.54296875" style="26" customWidth="1"/>
    <col min="17" max="17" width="17.54296875" style="7" customWidth="1"/>
    <col min="18" max="18" width="9.1796875" style="7"/>
    <col min="19" max="19" width="13.1796875" style="7" customWidth="1"/>
    <col min="20" max="20" width="10.26953125" style="12" customWidth="1"/>
    <col min="21" max="22" width="11.7265625" customWidth="1"/>
  </cols>
  <sheetData>
    <row r="1" spans="1:22" ht="14.5" customHeight="1" x14ac:dyDescent="0.35">
      <c r="A1" s="66" t="s">
        <v>361</v>
      </c>
      <c r="B1" s="66" t="s">
        <v>138</v>
      </c>
      <c r="C1" s="67" t="s">
        <v>139</v>
      </c>
      <c r="D1" s="68" t="s">
        <v>0</v>
      </c>
      <c r="E1" s="69" t="s">
        <v>1</v>
      </c>
      <c r="F1" s="61" t="s">
        <v>2</v>
      </c>
      <c r="G1" s="61" t="s">
        <v>3</v>
      </c>
      <c r="H1" s="61" t="s">
        <v>4</v>
      </c>
      <c r="I1" s="61" t="s">
        <v>5</v>
      </c>
      <c r="J1" s="61" t="s">
        <v>6</v>
      </c>
      <c r="K1" s="61" t="s">
        <v>7</v>
      </c>
      <c r="L1" s="61" t="s">
        <v>225</v>
      </c>
      <c r="M1" s="61" t="s">
        <v>9</v>
      </c>
      <c r="N1" s="61" t="s">
        <v>10</v>
      </c>
      <c r="O1" s="61" t="s">
        <v>122</v>
      </c>
      <c r="P1" s="58" t="s">
        <v>12</v>
      </c>
      <c r="Q1" s="61" t="s">
        <v>13</v>
      </c>
      <c r="R1" s="61" t="s">
        <v>14</v>
      </c>
      <c r="S1" s="61" t="s">
        <v>15</v>
      </c>
      <c r="T1" s="57" t="s">
        <v>11</v>
      </c>
      <c r="U1" s="57" t="s">
        <v>134</v>
      </c>
      <c r="V1" s="57" t="s">
        <v>135</v>
      </c>
    </row>
    <row r="2" spans="1:22" ht="31.5" customHeight="1" x14ac:dyDescent="0.35">
      <c r="A2" s="66"/>
      <c r="B2" s="66"/>
      <c r="C2" s="67"/>
      <c r="D2" s="68"/>
      <c r="E2" s="69"/>
      <c r="F2" s="61"/>
      <c r="G2" s="61"/>
      <c r="H2" s="61"/>
      <c r="I2" s="61"/>
      <c r="J2" s="61"/>
      <c r="K2" s="61"/>
      <c r="L2" s="61"/>
      <c r="M2" s="61"/>
      <c r="N2" s="61"/>
      <c r="O2" s="61"/>
      <c r="P2" s="58"/>
      <c r="Q2" s="61"/>
      <c r="R2" s="61"/>
      <c r="S2" s="61"/>
      <c r="T2" s="57"/>
      <c r="U2" s="57"/>
      <c r="V2" s="57"/>
    </row>
    <row r="3" spans="1:22" x14ac:dyDescent="0.35">
      <c r="A3" s="49" t="s">
        <v>362</v>
      </c>
      <c r="B3" s="32" t="s">
        <v>229</v>
      </c>
      <c r="C3" s="3">
        <v>1707</v>
      </c>
      <c r="D3" s="2" t="s">
        <v>223</v>
      </c>
      <c r="E3" s="36" t="s">
        <v>258</v>
      </c>
      <c r="F3" s="3">
        <f>VLOOKUP(D3,Performance!A:B,2,0)</f>
        <v>28</v>
      </c>
      <c r="G3" s="3">
        <f>VLOOKUP(D3,Performance!A:C,3,0)</f>
        <v>0</v>
      </c>
      <c r="H3" s="3">
        <f>VLOOKUP(D3,Performance!A:D,4,0)</f>
        <v>1</v>
      </c>
      <c r="I3" s="3">
        <f>VLOOKUP(D3,Performance!A:E,5,0)</f>
        <v>2</v>
      </c>
      <c r="J3" s="3">
        <f>VLOOKUP(D3,Performance!A:F,6,0)</f>
        <v>3</v>
      </c>
      <c r="K3" s="3">
        <f>VLOOKUP(D3,Performance!A:G,7,0)</f>
        <v>17</v>
      </c>
      <c r="L3" s="3">
        <f>VLOOKUP(D3,Performance!A:I,9,0)</f>
        <v>18</v>
      </c>
      <c r="M3" s="3">
        <f>VLOOKUP(D3,Performance!A:H,8,0)</f>
        <v>0</v>
      </c>
      <c r="N3" s="3">
        <f>VLOOKUP(D3,Performance!A:J,10,0)</f>
        <v>173</v>
      </c>
      <c r="O3" s="3">
        <f>VLOOKUP(D3,Performance!A:K,11,0)</f>
        <v>169</v>
      </c>
      <c r="P3" s="4">
        <f>VLOOKUP(D3,Performance!A:L,12,0)</f>
        <v>0.97687861271676302</v>
      </c>
      <c r="Q3" s="5">
        <f>VLOOKUP(D3,Performance!A:M,13,0)</f>
        <v>9.9411764705882408</v>
      </c>
      <c r="R3" s="6">
        <f>VLOOKUP(D3,Performance!A:N,14,0)</f>
        <v>0</v>
      </c>
      <c r="S3" s="6">
        <f>VLOOKUP(D3,Performance!A:O,15,0)</f>
        <v>3.4624260355029599</v>
      </c>
      <c r="T3" s="11">
        <f t="shared" ref="T3:T19" si="0">VLOOKUP(D3,performance1,16,0)</f>
        <v>169</v>
      </c>
      <c r="U3" s="3"/>
      <c r="V3" s="11">
        <f>T3-O3</f>
        <v>0</v>
      </c>
    </row>
    <row r="4" spans="1:22" x14ac:dyDescent="0.35">
      <c r="A4" s="49" t="s">
        <v>362</v>
      </c>
      <c r="B4" s="32" t="s">
        <v>140</v>
      </c>
      <c r="C4" s="3" t="s">
        <v>141</v>
      </c>
      <c r="D4" s="2" t="s">
        <v>121</v>
      </c>
      <c r="E4" s="36" t="s">
        <v>259</v>
      </c>
      <c r="F4" s="3">
        <f>VLOOKUP(D4,Performance!A:B,2,0)</f>
        <v>28</v>
      </c>
      <c r="G4" s="3">
        <f>VLOOKUP(D4,Performance!A:C,3,0)</f>
        <v>0</v>
      </c>
      <c r="H4" s="3">
        <f>VLOOKUP(D4,Performance!A:D,4,0)</f>
        <v>3</v>
      </c>
      <c r="I4" s="3">
        <f>VLOOKUP(D4,Performance!A:E,5,0)</f>
        <v>1.5</v>
      </c>
      <c r="J4" s="3">
        <f>VLOOKUP(D4,Performance!A:F,6,0)</f>
        <v>4.5</v>
      </c>
      <c r="K4" s="3">
        <f>VLOOKUP(D4,Performance!A:G,7,0)</f>
        <v>15.5</v>
      </c>
      <c r="L4" s="3">
        <f>VLOOKUP(D4,Performance!A:I,9,0)</f>
        <v>16</v>
      </c>
      <c r="M4" s="3">
        <f>VLOOKUP(D4,Performance!A:H,8,0)</f>
        <v>0</v>
      </c>
      <c r="N4" s="3">
        <f>VLOOKUP(D4,Performance!A:J,10,0)</f>
        <v>176</v>
      </c>
      <c r="O4" s="3">
        <f>VLOOKUP(D4,Performance!A:K,11,0)</f>
        <v>155</v>
      </c>
      <c r="P4" s="4">
        <f>VLOOKUP(D4,Performance!A:L,12,0)</f>
        <v>0.88068181818181801</v>
      </c>
      <c r="Q4" s="5">
        <f>VLOOKUP(D4,Performance!A:M,13,0)</f>
        <v>10.3870967741935</v>
      </c>
      <c r="R4" s="6">
        <f>VLOOKUP(D4,Performance!A:N,14,0)</f>
        <v>1.2422360248447201E-2</v>
      </c>
      <c r="S4" s="6">
        <f>VLOOKUP(D4,Performance!A:O,15,0)</f>
        <v>18.500724637681198</v>
      </c>
      <c r="T4" s="11">
        <f t="shared" si="0"/>
        <v>161</v>
      </c>
      <c r="U4" s="3"/>
      <c r="V4" s="11">
        <f t="shared" ref="V4:V65" si="1">T4-O4</f>
        <v>6</v>
      </c>
    </row>
    <row r="5" spans="1:22" x14ac:dyDescent="0.35">
      <c r="A5" s="49" t="s">
        <v>362</v>
      </c>
      <c r="B5" s="32" t="s">
        <v>142</v>
      </c>
      <c r="C5" s="3" t="s">
        <v>143</v>
      </c>
      <c r="D5" s="2" t="s">
        <v>130</v>
      </c>
      <c r="E5" s="36" t="s">
        <v>260</v>
      </c>
      <c r="F5" s="3">
        <f>VLOOKUP(D5,Performance!A:B,2,0)</f>
        <v>28</v>
      </c>
      <c r="G5" s="3">
        <f>VLOOKUP(D5,Performance!A:C,3,0)</f>
        <v>0</v>
      </c>
      <c r="H5" s="3">
        <f>VLOOKUP(D5,Performance!A:D,4,0)</f>
        <v>1</v>
      </c>
      <c r="I5" s="3">
        <f>VLOOKUP(D5,Performance!A:E,5,0)</f>
        <v>1.5</v>
      </c>
      <c r="J5" s="3">
        <f>VLOOKUP(D5,Performance!A:F,6,0)</f>
        <v>2.5</v>
      </c>
      <c r="K5" s="3">
        <f>VLOOKUP(D5,Performance!A:G,7,0)</f>
        <v>17.5</v>
      </c>
      <c r="L5" s="3">
        <f>VLOOKUP(D5,Performance!A:I,9,0)</f>
        <v>18</v>
      </c>
      <c r="M5" s="3">
        <f>VLOOKUP(D5,Performance!A:H,8,0)</f>
        <v>0</v>
      </c>
      <c r="N5" s="3">
        <f>VLOOKUP(D5,Performance!A:J,10,0)</f>
        <v>161</v>
      </c>
      <c r="O5" s="3">
        <f>VLOOKUP(D5,Performance!A:K,11,0)</f>
        <v>158</v>
      </c>
      <c r="P5" s="4">
        <f>VLOOKUP(D5,Performance!A:L,12,0)</f>
        <v>0.98136645962732905</v>
      </c>
      <c r="Q5" s="5">
        <f>VLOOKUP(D5,Performance!A:M,13,0)</f>
        <v>9.0285714285714302</v>
      </c>
      <c r="R5" s="6">
        <f>VLOOKUP(D5,Performance!A:N,14,0)</f>
        <v>1.90506329113924</v>
      </c>
      <c r="S5" s="6">
        <f>VLOOKUP(D5,Performance!A:O,15,0)</f>
        <v>3.89040084388186</v>
      </c>
      <c r="T5" s="11">
        <f t="shared" si="0"/>
        <v>158</v>
      </c>
      <c r="U5" s="3"/>
      <c r="V5" s="11">
        <f t="shared" si="1"/>
        <v>0</v>
      </c>
    </row>
    <row r="6" spans="1:22" x14ac:dyDescent="0.35">
      <c r="A6" s="49" t="s">
        <v>362</v>
      </c>
      <c r="B6" s="32">
        <v>46025</v>
      </c>
      <c r="C6" s="3">
        <v>2008</v>
      </c>
      <c r="D6" s="1" t="s">
        <v>262</v>
      </c>
      <c r="E6" s="36" t="s">
        <v>261</v>
      </c>
      <c r="F6" s="3">
        <f>VLOOKUP(D6,Performance!A:B,2,0)</f>
        <v>28</v>
      </c>
      <c r="G6" s="3">
        <f>VLOOKUP(D6,Performance!A:C,3,0)</f>
        <v>0</v>
      </c>
      <c r="H6" s="3">
        <f>VLOOKUP(D6,Performance!A:D,4,0)</f>
        <v>3</v>
      </c>
      <c r="I6" s="3">
        <f>VLOOKUP(D6,Performance!A:E,5,0)</f>
        <v>1</v>
      </c>
      <c r="J6" s="3">
        <f>VLOOKUP(D6,Performance!A:F,6,0)</f>
        <v>4</v>
      </c>
      <c r="K6" s="3">
        <f>VLOOKUP(D6,Performance!A:G,7,0)</f>
        <v>16</v>
      </c>
      <c r="L6" s="3">
        <f>VLOOKUP(D6,Performance!A:I,9,0)</f>
        <v>16</v>
      </c>
      <c r="M6" s="3">
        <f>VLOOKUP(D6,Performance!A:H,8,0)</f>
        <v>0</v>
      </c>
      <c r="N6" s="3">
        <f>VLOOKUP(D6,Performance!A:J,10,0)</f>
        <v>197</v>
      </c>
      <c r="O6" s="3">
        <f>VLOOKUP(D6,Performance!A:K,11,0)</f>
        <v>123</v>
      </c>
      <c r="P6" s="4">
        <f>VLOOKUP(D6,Performance!A:L,12,0)</f>
        <v>0.62436548223350297</v>
      </c>
      <c r="Q6" s="5">
        <f>VLOOKUP(D6,Performance!A:M,13,0)</f>
        <v>8.375</v>
      </c>
      <c r="R6" s="6">
        <f>VLOOKUP(D6,Performance!A:N,14,0)</f>
        <v>0</v>
      </c>
      <c r="S6" s="6">
        <f>VLOOKUP(D6,Performance!A:O,15,0)</f>
        <v>3.6572139303482598</v>
      </c>
      <c r="T6" s="11">
        <f t="shared" si="0"/>
        <v>134</v>
      </c>
      <c r="U6" s="3"/>
      <c r="V6" s="11">
        <f t="shared" si="1"/>
        <v>11</v>
      </c>
    </row>
    <row r="7" spans="1:22" x14ac:dyDescent="0.35">
      <c r="A7" s="49" t="s">
        <v>362</v>
      </c>
      <c r="B7" s="32" t="s">
        <v>146</v>
      </c>
      <c r="C7" s="3" t="s">
        <v>147</v>
      </c>
      <c r="D7" s="2" t="s">
        <v>124</v>
      </c>
      <c r="E7" s="36" t="s">
        <v>263</v>
      </c>
      <c r="F7" s="3">
        <f>VLOOKUP(D7,Performance!A:B,2,0)</f>
        <v>28</v>
      </c>
      <c r="G7" s="3">
        <f>VLOOKUP(D7,Performance!A:C,3,0)</f>
        <v>0</v>
      </c>
      <c r="H7" s="3">
        <f>VLOOKUP(D7,Performance!A:D,4,0)</f>
        <v>2</v>
      </c>
      <c r="I7" s="3">
        <f>VLOOKUP(D7,Performance!A:E,5,0)</f>
        <v>2</v>
      </c>
      <c r="J7" s="3">
        <f>VLOOKUP(D7,Performance!A:F,6,0)</f>
        <v>4</v>
      </c>
      <c r="K7" s="3">
        <f>VLOOKUP(D7,Performance!A:G,7,0)</f>
        <v>16</v>
      </c>
      <c r="L7" s="3">
        <f>VLOOKUP(D7,Performance!A:I,9,0)</f>
        <v>17</v>
      </c>
      <c r="M7" s="3">
        <f>VLOOKUP(D7,Performance!A:H,8,0)</f>
        <v>0</v>
      </c>
      <c r="N7" s="3">
        <f>VLOOKUP(D7,Performance!A:J,10,0)</f>
        <v>191</v>
      </c>
      <c r="O7" s="3">
        <f>VLOOKUP(D7,Performance!A:K,11,0)</f>
        <v>154</v>
      </c>
      <c r="P7" s="4">
        <f>VLOOKUP(D7,Performance!A:L,12,0)</f>
        <v>0.80628272251308897</v>
      </c>
      <c r="Q7" s="5">
        <f>VLOOKUP(D7,Performance!A:M,13,0)</f>
        <v>9.625</v>
      </c>
      <c r="R7" s="6">
        <f>VLOOKUP(D7,Performance!A:N,14,0)</f>
        <v>0</v>
      </c>
      <c r="S7" s="6">
        <f>VLOOKUP(D7,Performance!A:O,15,0)</f>
        <v>7.35606060606061</v>
      </c>
      <c r="T7" s="11">
        <f t="shared" si="0"/>
        <v>154</v>
      </c>
      <c r="U7" s="3"/>
      <c r="V7" s="11">
        <f t="shared" si="1"/>
        <v>0</v>
      </c>
    </row>
    <row r="8" spans="1:22" x14ac:dyDescent="0.35">
      <c r="A8" s="49" t="s">
        <v>362</v>
      </c>
      <c r="B8" s="32"/>
      <c r="C8" s="3"/>
      <c r="D8" s="37" t="s">
        <v>265</v>
      </c>
      <c r="E8" s="36" t="s">
        <v>264</v>
      </c>
      <c r="F8" s="3" t="e">
        <f>VLOOKUP(D8,Performance!A:B,2,0)</f>
        <v>#N/A</v>
      </c>
      <c r="G8" s="3" t="e">
        <f>VLOOKUP(D8,Performance!A:C,3,0)</f>
        <v>#N/A</v>
      </c>
      <c r="H8" s="3" t="e">
        <f>VLOOKUP(D8,Performance!A:D,4,0)</f>
        <v>#N/A</v>
      </c>
      <c r="I8" s="3" t="e">
        <f>VLOOKUP(D8,Performance!A:E,5,0)</f>
        <v>#N/A</v>
      </c>
      <c r="J8" s="3" t="e">
        <f>VLOOKUP(D8,Performance!A:F,6,0)</f>
        <v>#N/A</v>
      </c>
      <c r="K8" s="3" t="e">
        <f>VLOOKUP(D8,Performance!A:G,7,0)</f>
        <v>#N/A</v>
      </c>
      <c r="L8" s="3" t="e">
        <f>VLOOKUP(D8,Performance!A:I,9,0)</f>
        <v>#N/A</v>
      </c>
      <c r="M8" s="3" t="e">
        <f>VLOOKUP(D8,Performance!A:H,8,0)</f>
        <v>#N/A</v>
      </c>
      <c r="N8" s="3" t="e">
        <f>VLOOKUP(D8,Performance!A:J,10,0)</f>
        <v>#N/A</v>
      </c>
      <c r="O8" s="3" t="e">
        <f>VLOOKUP(D8,Performance!A:K,11,0)</f>
        <v>#N/A</v>
      </c>
      <c r="P8" s="4" t="e">
        <f>VLOOKUP(D8,Performance!A:L,12,0)</f>
        <v>#N/A</v>
      </c>
      <c r="Q8" s="5" t="e">
        <f>VLOOKUP(D8,Performance!A:M,13,0)</f>
        <v>#N/A</v>
      </c>
      <c r="R8" s="6" t="e">
        <f>VLOOKUP(D8,Performance!A:N,14,0)</f>
        <v>#N/A</v>
      </c>
      <c r="S8" s="6" t="e">
        <f>VLOOKUP(D8,Performance!A:O,15,0)</f>
        <v>#N/A</v>
      </c>
      <c r="T8" s="11" t="e">
        <f t="shared" si="0"/>
        <v>#N/A</v>
      </c>
      <c r="U8" s="3"/>
      <c r="V8" s="11" t="e">
        <f t="shared" si="1"/>
        <v>#N/A</v>
      </c>
    </row>
    <row r="9" spans="1:22" x14ac:dyDescent="0.35">
      <c r="A9" s="49" t="s">
        <v>362</v>
      </c>
      <c r="B9" s="32" t="s">
        <v>144</v>
      </c>
      <c r="C9" s="3" t="s">
        <v>150</v>
      </c>
      <c r="D9" s="2" t="s">
        <v>48</v>
      </c>
      <c r="E9" s="36" t="s">
        <v>266</v>
      </c>
      <c r="F9" s="3">
        <f>VLOOKUP(D9,Performance!A:B,2,0)</f>
        <v>28</v>
      </c>
      <c r="G9" s="3">
        <f>VLOOKUP(D9,Performance!A:C,3,0)</f>
        <v>0</v>
      </c>
      <c r="H9" s="3">
        <f>VLOOKUP(D9,Performance!A:D,4,0)</f>
        <v>2</v>
      </c>
      <c r="I9" s="3">
        <f>VLOOKUP(D9,Performance!A:E,5,0)</f>
        <v>1</v>
      </c>
      <c r="J9" s="3">
        <f>VLOOKUP(D9,Performance!A:F,6,0)</f>
        <v>3</v>
      </c>
      <c r="K9" s="3">
        <f>VLOOKUP(D9,Performance!A:G,7,0)</f>
        <v>17</v>
      </c>
      <c r="L9" s="3">
        <f>VLOOKUP(D9,Performance!A:I,9,0)</f>
        <v>17</v>
      </c>
      <c r="M9" s="3">
        <f>VLOOKUP(D9,Performance!A:H,8,0)</f>
        <v>0</v>
      </c>
      <c r="N9" s="3">
        <f>VLOOKUP(D9,Performance!A:J,10,0)</f>
        <v>177</v>
      </c>
      <c r="O9" s="3">
        <f>VLOOKUP(D9,Performance!A:K,11,0)</f>
        <v>151</v>
      </c>
      <c r="P9" s="4">
        <f>VLOOKUP(D9,Performance!A:L,12,0)</f>
        <v>0.85310734463276805</v>
      </c>
      <c r="Q9" s="5">
        <f>VLOOKUP(D9,Performance!A:M,13,0)</f>
        <v>9.0588235294117592</v>
      </c>
      <c r="R9" s="6">
        <f>VLOOKUP(D9,Performance!A:N,14,0)</f>
        <v>0</v>
      </c>
      <c r="S9" s="6">
        <f>VLOOKUP(D9,Performance!A:O,15,0)</f>
        <v>13.1997835497836</v>
      </c>
      <c r="T9" s="11">
        <f t="shared" si="0"/>
        <v>154</v>
      </c>
      <c r="U9" s="3"/>
      <c r="V9" s="11">
        <f t="shared" si="1"/>
        <v>3</v>
      </c>
    </row>
    <row r="10" spans="1:22" x14ac:dyDescent="0.35">
      <c r="A10" s="49" t="s">
        <v>362</v>
      </c>
      <c r="B10" s="32">
        <v>46032</v>
      </c>
      <c r="C10" s="3">
        <v>2007</v>
      </c>
      <c r="D10" s="48" t="s">
        <v>268</v>
      </c>
      <c r="E10" s="36" t="s">
        <v>267</v>
      </c>
      <c r="F10" s="3">
        <f>VLOOKUP(D10,Performance!A:B,2,0)</f>
        <v>28</v>
      </c>
      <c r="G10" s="3">
        <f>VLOOKUP(D10,Performance!A:C,3,0)</f>
        <v>0</v>
      </c>
      <c r="H10" s="3">
        <f>VLOOKUP(D10,Performance!A:D,4,0)</f>
        <v>2</v>
      </c>
      <c r="I10" s="3">
        <f>VLOOKUP(D10,Performance!A:E,5,0)</f>
        <v>2</v>
      </c>
      <c r="J10" s="3">
        <f>VLOOKUP(D10,Performance!A:F,6,0)</f>
        <v>4</v>
      </c>
      <c r="K10" s="3">
        <f>VLOOKUP(D10,Performance!A:G,7,0)</f>
        <v>16</v>
      </c>
      <c r="L10" s="3">
        <f>VLOOKUP(D10,Performance!A:I,9,0)</f>
        <v>10</v>
      </c>
      <c r="M10" s="3">
        <f>VLOOKUP(D10,Performance!A:H,8,0)</f>
        <v>6</v>
      </c>
      <c r="N10" s="3">
        <f>VLOOKUP(D10,Performance!A:J,10,0)</f>
        <v>214</v>
      </c>
      <c r="O10" s="3">
        <f>VLOOKUP(D10,Performance!A:K,11,0)</f>
        <v>66</v>
      </c>
      <c r="P10" s="4">
        <f>VLOOKUP(D10,Performance!A:L,12,0)</f>
        <v>0.30841121495327101</v>
      </c>
      <c r="Q10" s="5">
        <f>VLOOKUP(D10,Performance!A:M,13,0)</f>
        <v>4.125</v>
      </c>
      <c r="R10" s="6">
        <f>VLOOKUP(D10,Performance!A:N,14,0)</f>
        <v>0</v>
      </c>
      <c r="S10" s="6">
        <f>VLOOKUP(D10,Performance!A:O,15,0)</f>
        <v>3.3406565656565701</v>
      </c>
      <c r="T10" s="11">
        <f t="shared" si="0"/>
        <v>66</v>
      </c>
      <c r="U10" s="3"/>
      <c r="V10" s="11">
        <f t="shared" si="1"/>
        <v>0</v>
      </c>
    </row>
    <row r="11" spans="1:22" x14ac:dyDescent="0.35">
      <c r="A11" s="49" t="s">
        <v>362</v>
      </c>
      <c r="B11" s="33" t="s">
        <v>153</v>
      </c>
      <c r="C11" s="17" t="s">
        <v>154</v>
      </c>
      <c r="D11" s="16" t="s">
        <v>131</v>
      </c>
      <c r="E11" s="38" t="s">
        <v>282</v>
      </c>
      <c r="F11" s="17">
        <f>VLOOKUP(D11,Performance!A:B,2,0)</f>
        <v>28</v>
      </c>
      <c r="G11" s="17">
        <f>VLOOKUP(D11,Performance!A:C,3,0)</f>
        <v>0</v>
      </c>
      <c r="H11" s="17">
        <f>VLOOKUP(D11,Performance!A:D,4,0)</f>
        <v>0</v>
      </c>
      <c r="I11" s="17">
        <f>VLOOKUP(D11,Performance!A:E,5,0)</f>
        <v>0</v>
      </c>
      <c r="J11" s="17">
        <f>VLOOKUP(D11,Performance!A:F,6,0)</f>
        <v>0</v>
      </c>
      <c r="K11" s="17">
        <f>VLOOKUP(D11,Performance!A:G,7,0)</f>
        <v>20</v>
      </c>
      <c r="L11" s="17">
        <f>VLOOKUP(D11,Performance!A:I,9,0)</f>
        <v>15</v>
      </c>
      <c r="M11" s="17">
        <f>VLOOKUP(D11,Performance!A:H,8,0)</f>
        <v>5</v>
      </c>
      <c r="N11" s="17">
        <f>SUM(N3:N5,N7,N9)</f>
        <v>878</v>
      </c>
      <c r="O11" s="17">
        <f>SUM(O3:O5,O7,O9)</f>
        <v>787</v>
      </c>
      <c r="P11" s="18">
        <f>O11/N11</f>
        <v>0.89635535307517089</v>
      </c>
      <c r="Q11" s="19">
        <f>AVERAGE(Q3:Q5,Q7,Q9)</f>
        <v>9.6081336405529871</v>
      </c>
      <c r="R11" s="19">
        <f t="shared" ref="R11:S11" si="2">AVERAGE(R3:R5,R7,R9)</f>
        <v>0.38349713027753746</v>
      </c>
      <c r="S11" s="19">
        <f t="shared" si="2"/>
        <v>9.2818791345820468</v>
      </c>
      <c r="T11" s="30">
        <f t="shared" si="0"/>
        <v>36</v>
      </c>
      <c r="U11" s="17"/>
      <c r="V11" s="30"/>
    </row>
    <row r="12" spans="1:22" x14ac:dyDescent="0.35">
      <c r="A12" s="49" t="s">
        <v>362</v>
      </c>
      <c r="B12" s="32"/>
      <c r="C12" s="3"/>
      <c r="D12" s="9" t="s">
        <v>340</v>
      </c>
      <c r="E12" s="39" t="s">
        <v>269</v>
      </c>
      <c r="F12" s="3" t="e">
        <f>VLOOKUP(D12,Performance!A:B,2,0)</f>
        <v>#N/A</v>
      </c>
      <c r="G12" s="3" t="e">
        <f>VLOOKUP(D12,Performance!A:C,3,0)</f>
        <v>#N/A</v>
      </c>
      <c r="H12" s="3" t="e">
        <f>VLOOKUP(D12,Performance!A:D,4,0)</f>
        <v>#N/A</v>
      </c>
      <c r="I12" s="3" t="e">
        <f>VLOOKUP(D12,Performance!A:E,5,0)</f>
        <v>#N/A</v>
      </c>
      <c r="J12" s="3" t="e">
        <f>VLOOKUP(D12,Performance!A:F,6,0)</f>
        <v>#N/A</v>
      </c>
      <c r="K12" s="3" t="e">
        <f>VLOOKUP(D12,Performance!A:G,7,0)</f>
        <v>#N/A</v>
      </c>
      <c r="L12" s="3" t="e">
        <f>VLOOKUP(D12,Performance!A:I,9,0)</f>
        <v>#N/A</v>
      </c>
      <c r="M12" s="3" t="e">
        <f>VLOOKUP(D12,Performance!A:H,8,0)</f>
        <v>#N/A</v>
      </c>
      <c r="N12" s="3" t="e">
        <f>VLOOKUP(D12,Performance!A:J,10,0)</f>
        <v>#N/A</v>
      </c>
      <c r="O12" s="3" t="e">
        <f>VLOOKUP(D12,Performance!A:K,11,0)</f>
        <v>#N/A</v>
      </c>
      <c r="P12" s="4" t="e">
        <f>VLOOKUP(D12,Performance!A:L,12,0)</f>
        <v>#N/A</v>
      </c>
      <c r="Q12" s="5" t="e">
        <f>VLOOKUP(D12,Performance!A:M,13,0)</f>
        <v>#N/A</v>
      </c>
      <c r="R12" s="6" t="e">
        <f>VLOOKUP(D12,Performance!A:N,14,0)</f>
        <v>#N/A</v>
      </c>
      <c r="S12" s="6" t="e">
        <f>VLOOKUP(D12,Performance!A:O,15,0)</f>
        <v>#N/A</v>
      </c>
      <c r="T12" s="11" t="e">
        <f t="shared" si="0"/>
        <v>#N/A</v>
      </c>
      <c r="U12" s="3"/>
      <c r="V12" s="11" t="e">
        <f t="shared" si="1"/>
        <v>#N/A</v>
      </c>
    </row>
    <row r="13" spans="1:22" x14ac:dyDescent="0.35">
      <c r="A13" s="49" t="s">
        <v>362</v>
      </c>
      <c r="B13" s="32" t="s">
        <v>247</v>
      </c>
      <c r="C13" s="3">
        <v>1839</v>
      </c>
      <c r="D13" s="2" t="s">
        <v>246</v>
      </c>
      <c r="E13" s="39" t="s">
        <v>270</v>
      </c>
      <c r="F13" s="3">
        <f>VLOOKUP(D13,Performance!A:B,2,0)</f>
        <v>28</v>
      </c>
      <c r="G13" s="3">
        <f>VLOOKUP(D13,Performance!A:C,3,0)</f>
        <v>0</v>
      </c>
      <c r="H13" s="3">
        <f>VLOOKUP(D13,Performance!A:D,4,0)</f>
        <v>0</v>
      </c>
      <c r="I13" s="3">
        <f>VLOOKUP(D13,Performance!A:E,5,0)</f>
        <v>1</v>
      </c>
      <c r="J13" s="3">
        <f>VLOOKUP(D13,Performance!A:F,6,0)</f>
        <v>1</v>
      </c>
      <c r="K13" s="3">
        <f>VLOOKUP(D13,Performance!A:G,7,0)</f>
        <v>19</v>
      </c>
      <c r="L13" s="3">
        <f>VLOOKUP(D13,Performance!A:I,9,0)</f>
        <v>17</v>
      </c>
      <c r="M13" s="3">
        <f>VLOOKUP(D13,Performance!A:H,8,0)</f>
        <v>2</v>
      </c>
      <c r="N13" s="3">
        <f>VLOOKUP(D13,Performance!A:J,10,0)</f>
        <v>182</v>
      </c>
      <c r="O13" s="3">
        <f>VLOOKUP(D13,Performance!A:K,11,0)</f>
        <v>144</v>
      </c>
      <c r="P13" s="4">
        <f>VLOOKUP(D13,Performance!A:L,12,0)</f>
        <v>0.79120879120879095</v>
      </c>
      <c r="Q13" s="5">
        <f>VLOOKUP(D13,Performance!A:M,13,0)</f>
        <v>7.5789473684210504</v>
      </c>
      <c r="R13" s="6">
        <f>VLOOKUP(D13,Performance!A:N,14,0)</f>
        <v>0</v>
      </c>
      <c r="S13" s="6">
        <f>VLOOKUP(D13,Performance!A:O,15,0)</f>
        <v>25.447106481481502</v>
      </c>
      <c r="T13" s="11">
        <f t="shared" si="0"/>
        <v>144</v>
      </c>
      <c r="U13" s="3"/>
      <c r="V13" s="11">
        <f t="shared" si="1"/>
        <v>0</v>
      </c>
    </row>
    <row r="14" spans="1:22" x14ac:dyDescent="0.35">
      <c r="A14" s="49" t="s">
        <v>362</v>
      </c>
      <c r="B14" s="32">
        <v>46023</v>
      </c>
      <c r="C14" s="3">
        <v>2018</v>
      </c>
      <c r="D14" s="1" t="s">
        <v>272</v>
      </c>
      <c r="E14" s="39" t="s">
        <v>271</v>
      </c>
      <c r="F14" s="3">
        <f>VLOOKUP(D14,Performance!A:B,2,0)</f>
        <v>28</v>
      </c>
      <c r="G14" s="3">
        <f>VLOOKUP(D14,Performance!A:C,3,0)</f>
        <v>0</v>
      </c>
      <c r="H14" s="3">
        <f>VLOOKUP(D14,Performance!A:D,4,0)</f>
        <v>1</v>
      </c>
      <c r="I14" s="3">
        <f>VLOOKUP(D14,Performance!A:E,5,0)</f>
        <v>1.5</v>
      </c>
      <c r="J14" s="3">
        <f>VLOOKUP(D14,Performance!A:F,6,0)</f>
        <v>2.5</v>
      </c>
      <c r="K14" s="3">
        <f>VLOOKUP(D14,Performance!A:G,7,0)</f>
        <v>17.5</v>
      </c>
      <c r="L14" s="3">
        <f>VLOOKUP(D14,Performance!A:I,9,0)</f>
        <v>16</v>
      </c>
      <c r="M14" s="3">
        <f>VLOOKUP(D14,Performance!A:H,8,0)</f>
        <v>1.5</v>
      </c>
      <c r="N14" s="3">
        <f>VLOOKUP(D14,Performance!A:J,10,0)</f>
        <v>158</v>
      </c>
      <c r="O14" s="3">
        <f>VLOOKUP(D14,Performance!A:K,11,0)</f>
        <v>120</v>
      </c>
      <c r="P14" s="4">
        <f>VLOOKUP(D14,Performance!A:L,12,0)</f>
        <v>0.759493670886076</v>
      </c>
      <c r="Q14" s="5">
        <f>VLOOKUP(D14,Performance!A:M,13,0)</f>
        <v>6.8571428571428603</v>
      </c>
      <c r="R14" s="6">
        <f>VLOOKUP(D14,Performance!A:N,14,0)</f>
        <v>0</v>
      </c>
      <c r="S14" s="6">
        <f>VLOOKUP(D14,Performance!A:O,15,0)</f>
        <v>12.0077777777778</v>
      </c>
      <c r="T14" s="11">
        <f t="shared" si="0"/>
        <v>120</v>
      </c>
      <c r="U14" s="3"/>
      <c r="V14" s="11">
        <f t="shared" si="1"/>
        <v>0</v>
      </c>
    </row>
    <row r="15" spans="1:22" x14ac:dyDescent="0.35">
      <c r="A15" s="49" t="s">
        <v>362</v>
      </c>
      <c r="B15" s="32">
        <v>46032</v>
      </c>
      <c r="C15" s="3">
        <v>2074</v>
      </c>
      <c r="D15" s="1" t="s">
        <v>274</v>
      </c>
      <c r="E15" s="39" t="s">
        <v>273</v>
      </c>
      <c r="F15" s="3">
        <f>VLOOKUP(D15,Performance!A:B,2,0)</f>
        <v>28</v>
      </c>
      <c r="G15" s="3">
        <f>VLOOKUP(D15,Performance!A:C,3,0)</f>
        <v>0</v>
      </c>
      <c r="H15" s="3">
        <f>VLOOKUP(D15,Performance!A:D,4,0)</f>
        <v>0</v>
      </c>
      <c r="I15" s="3">
        <f>VLOOKUP(D15,Performance!A:E,5,0)</f>
        <v>1</v>
      </c>
      <c r="J15" s="3">
        <f>VLOOKUP(D15,Performance!A:F,6,0)</f>
        <v>1</v>
      </c>
      <c r="K15" s="3">
        <f>VLOOKUP(D15,Performance!A:G,7,0)</f>
        <v>19</v>
      </c>
      <c r="L15" s="3">
        <f>VLOOKUP(D15,Performance!A:I,9,0)</f>
        <v>17</v>
      </c>
      <c r="M15" s="3">
        <f>VLOOKUP(D15,Performance!A:H,8,0)</f>
        <v>2</v>
      </c>
      <c r="N15" s="3">
        <f>VLOOKUP(D15,Performance!A:J,10,0)</f>
        <v>253</v>
      </c>
      <c r="O15" s="3">
        <f>VLOOKUP(D15,Performance!A:K,11,0)</f>
        <v>131</v>
      </c>
      <c r="P15" s="4">
        <f>VLOOKUP(D15,Performance!A:L,12,0)</f>
        <v>0.51778656126482203</v>
      </c>
      <c r="Q15" s="5">
        <f>VLOOKUP(D15,Performance!A:M,13,0)</f>
        <v>6.8947368421052602</v>
      </c>
      <c r="R15" s="6">
        <f>VLOOKUP(D15,Performance!A:N,14,0)</f>
        <v>0</v>
      </c>
      <c r="S15" s="6">
        <f>VLOOKUP(D15,Performance!A:O,15,0)</f>
        <v>16.027099236641199</v>
      </c>
      <c r="T15" s="11">
        <f t="shared" si="0"/>
        <v>131</v>
      </c>
      <c r="U15" s="3"/>
      <c r="V15" s="11">
        <f t="shared" si="1"/>
        <v>0</v>
      </c>
    </row>
    <row r="16" spans="1:22" x14ac:dyDescent="0.35">
      <c r="A16" s="49" t="s">
        <v>362</v>
      </c>
      <c r="B16" s="32" t="s">
        <v>160</v>
      </c>
      <c r="C16" s="3" t="s">
        <v>161</v>
      </c>
      <c r="D16" s="2" t="s">
        <v>19</v>
      </c>
      <c r="E16" s="39" t="s">
        <v>275</v>
      </c>
      <c r="F16" s="3">
        <f>VLOOKUP(D16,Performance!A:B,2,0)</f>
        <v>28</v>
      </c>
      <c r="G16" s="3">
        <f>VLOOKUP(D16,Performance!A:C,3,0)</f>
        <v>0</v>
      </c>
      <c r="H16" s="3">
        <f>VLOOKUP(D16,Performance!A:D,4,0)</f>
        <v>0</v>
      </c>
      <c r="I16" s="3">
        <f>VLOOKUP(D16,Performance!A:E,5,0)</f>
        <v>0</v>
      </c>
      <c r="J16" s="3">
        <f>VLOOKUP(D16,Performance!A:F,6,0)</f>
        <v>0</v>
      </c>
      <c r="K16" s="3">
        <f>VLOOKUP(D16,Performance!A:G,7,0)</f>
        <v>20</v>
      </c>
      <c r="L16" s="3">
        <f>VLOOKUP(D16,Performance!A:I,9,0)</f>
        <v>0</v>
      </c>
      <c r="M16" s="3">
        <f>VLOOKUP(D16,Performance!A:H,8,0)</f>
        <v>20</v>
      </c>
      <c r="N16" s="3">
        <f>VLOOKUP(D16,Performance!A:J,10,0)</f>
        <v>147</v>
      </c>
      <c r="O16" s="3">
        <f>VLOOKUP(D16,Performance!A:K,11,0)</f>
        <v>0</v>
      </c>
      <c r="P16" s="4">
        <f>VLOOKUP(D16,Performance!A:L,12,0)</f>
        <v>0</v>
      </c>
      <c r="Q16" s="5">
        <f>VLOOKUP(D16,Performance!A:M,13,0)</f>
        <v>0</v>
      </c>
      <c r="R16" s="6">
        <f>VLOOKUP(D16,Performance!A:N,14,0)</f>
        <v>0</v>
      </c>
      <c r="S16" s="6">
        <f>VLOOKUP(D16,Performance!A:O,15,0)</f>
        <v>0</v>
      </c>
      <c r="T16" s="11">
        <f t="shared" si="0"/>
        <v>0</v>
      </c>
      <c r="U16" s="3"/>
      <c r="V16" s="11">
        <f t="shared" si="1"/>
        <v>0</v>
      </c>
    </row>
    <row r="17" spans="1:22" x14ac:dyDescent="0.35">
      <c r="A17" s="49" t="s">
        <v>362</v>
      </c>
      <c r="B17" s="32" t="s">
        <v>144</v>
      </c>
      <c r="C17" s="3" t="s">
        <v>162</v>
      </c>
      <c r="D17" s="2" t="s">
        <v>348</v>
      </c>
      <c r="E17" s="39" t="s">
        <v>276</v>
      </c>
      <c r="F17" s="3">
        <f>VLOOKUP(D17,Performance!A:B,2,0)</f>
        <v>28</v>
      </c>
      <c r="G17" s="3">
        <f>VLOOKUP(D17,Performance!A:C,3,0)</f>
        <v>0</v>
      </c>
      <c r="H17" s="3">
        <f>VLOOKUP(D17,Performance!A:D,4,0)</f>
        <v>1</v>
      </c>
      <c r="I17" s="3">
        <f>VLOOKUP(D17,Performance!A:E,5,0)</f>
        <v>1</v>
      </c>
      <c r="J17" s="3">
        <f>VLOOKUP(D17,Performance!A:F,6,0)</f>
        <v>2</v>
      </c>
      <c r="K17" s="3">
        <f>VLOOKUP(D17,Performance!A:G,7,0)</f>
        <v>18</v>
      </c>
      <c r="L17" s="3">
        <f>VLOOKUP(D17,Performance!A:I,9,0)</f>
        <v>15</v>
      </c>
      <c r="M17" s="3">
        <f>VLOOKUP(D17,Performance!A:H,8,0)</f>
        <v>3</v>
      </c>
      <c r="N17" s="3">
        <f>VLOOKUP(D17,Performance!A:J,10,0)</f>
        <v>189</v>
      </c>
      <c r="O17" s="3">
        <f>VLOOKUP(D17,Performance!A:K,11,0)</f>
        <v>127</v>
      </c>
      <c r="P17" s="4">
        <f>VLOOKUP(D17,Performance!A:L,12,0)</f>
        <v>0.67195767195767198</v>
      </c>
      <c r="Q17" s="5">
        <f>VLOOKUP(D17,Performance!A:M,13,0)</f>
        <v>7.0555555555555598</v>
      </c>
      <c r="R17" s="6">
        <f>VLOOKUP(D17,Performance!A:N,14,0)</f>
        <v>1.5748031496062999E-2</v>
      </c>
      <c r="S17" s="6">
        <f>VLOOKUP(D17,Performance!A:O,15,0)</f>
        <v>15.453018372703401</v>
      </c>
      <c r="T17" s="11">
        <f t="shared" si="0"/>
        <v>127</v>
      </c>
      <c r="U17" s="3"/>
      <c r="V17" s="11">
        <f t="shared" si="1"/>
        <v>0</v>
      </c>
    </row>
    <row r="18" spans="1:22" x14ac:dyDescent="0.35">
      <c r="A18" s="49" t="s">
        <v>362</v>
      </c>
      <c r="B18" s="32">
        <v>46033</v>
      </c>
      <c r="C18" s="3">
        <v>2075</v>
      </c>
      <c r="D18" s="1" t="s">
        <v>279</v>
      </c>
      <c r="E18" s="39" t="s">
        <v>277</v>
      </c>
      <c r="F18" s="3">
        <f>VLOOKUP(D18,Performance!A:B,2,0)</f>
        <v>28</v>
      </c>
      <c r="G18" s="3">
        <f>VLOOKUP(D18,Performance!A:C,3,0)</f>
        <v>0</v>
      </c>
      <c r="H18" s="3">
        <f>VLOOKUP(D18,Performance!A:D,4,0)</f>
        <v>0</v>
      </c>
      <c r="I18" s="3">
        <f>VLOOKUP(D18,Performance!A:E,5,0)</f>
        <v>1</v>
      </c>
      <c r="J18" s="3">
        <f>VLOOKUP(D18,Performance!A:F,6,0)</f>
        <v>1</v>
      </c>
      <c r="K18" s="3">
        <f>VLOOKUP(D18,Performance!A:G,7,0)</f>
        <v>19</v>
      </c>
      <c r="L18" s="3">
        <f>VLOOKUP(D18,Performance!A:I,9,0)</f>
        <v>16</v>
      </c>
      <c r="M18" s="3">
        <f>VLOOKUP(D18,Performance!A:H,8,0)</f>
        <v>3</v>
      </c>
      <c r="N18" s="3">
        <f>VLOOKUP(D18,Performance!A:J,10,0)</f>
        <v>197</v>
      </c>
      <c r="O18" s="3">
        <f>VLOOKUP(D18,Performance!A:K,11,0)</f>
        <v>163</v>
      </c>
      <c r="P18" s="4">
        <f>VLOOKUP(D18,Performance!A:L,12,0)</f>
        <v>0.82741116751268995</v>
      </c>
      <c r="Q18" s="5">
        <f>VLOOKUP(D18,Performance!A:M,13,0)</f>
        <v>8.6315789473684195</v>
      </c>
      <c r="R18" s="6">
        <f>VLOOKUP(D18,Performance!A:N,14,0)</f>
        <v>0.32317073170731703</v>
      </c>
      <c r="S18" s="6">
        <f>VLOOKUP(D18,Performance!A:O,15,0)</f>
        <v>7.3282520325203304</v>
      </c>
      <c r="T18" s="11">
        <f t="shared" si="0"/>
        <v>164</v>
      </c>
      <c r="U18" s="3"/>
      <c r="V18" s="11">
        <f t="shared" si="1"/>
        <v>1</v>
      </c>
    </row>
    <row r="19" spans="1:22" x14ac:dyDescent="0.35">
      <c r="A19" s="49" t="s">
        <v>362</v>
      </c>
      <c r="B19" s="32">
        <v>46023</v>
      </c>
      <c r="C19" s="3">
        <v>2019</v>
      </c>
      <c r="D19" s="1" t="s">
        <v>280</v>
      </c>
      <c r="E19" s="39" t="s">
        <v>278</v>
      </c>
      <c r="F19" s="3">
        <f>VLOOKUP(D19,Performance!A:B,2,0)</f>
        <v>28</v>
      </c>
      <c r="G19" s="3">
        <f>VLOOKUP(D19,Performance!A:C,3,0)</f>
        <v>0</v>
      </c>
      <c r="H19" s="3">
        <f>VLOOKUP(D19,Performance!A:D,4,0)</f>
        <v>0</v>
      </c>
      <c r="I19" s="3">
        <f>VLOOKUP(D19,Performance!A:E,5,0)</f>
        <v>0.5</v>
      </c>
      <c r="J19" s="3">
        <f>VLOOKUP(D19,Performance!A:F,6,0)</f>
        <v>0.5</v>
      </c>
      <c r="K19" s="3">
        <f>VLOOKUP(D19,Performance!A:G,7,0)</f>
        <v>19.5</v>
      </c>
      <c r="L19" s="3">
        <f>VLOOKUP(D19,Performance!A:I,9,0)</f>
        <v>14</v>
      </c>
      <c r="M19" s="3">
        <f>VLOOKUP(D19,Performance!A:H,8,0)</f>
        <v>5.5</v>
      </c>
      <c r="N19" s="3">
        <f>VLOOKUP(D19,Performance!A:J,10,0)</f>
        <v>194</v>
      </c>
      <c r="O19" s="3">
        <f>VLOOKUP(D19,Performance!A:K,11,0)</f>
        <v>146</v>
      </c>
      <c r="P19" s="4">
        <f>VLOOKUP(D19,Performance!A:L,12,0)</f>
        <v>0.75257731958762897</v>
      </c>
      <c r="Q19" s="5">
        <f>VLOOKUP(D19,Performance!A:M,13,0)</f>
        <v>7.5384615384615401</v>
      </c>
      <c r="R19" s="6">
        <f>VLOOKUP(D19,Performance!A:N,14,0)</f>
        <v>0.97278911564625803</v>
      </c>
      <c r="S19" s="6">
        <f>VLOOKUP(D19,Performance!A:O,15,0)</f>
        <v>4.8744897959183699</v>
      </c>
      <c r="T19" s="11">
        <f t="shared" si="0"/>
        <v>147</v>
      </c>
      <c r="U19" s="40"/>
      <c r="V19" s="11">
        <f t="shared" si="1"/>
        <v>1</v>
      </c>
    </row>
    <row r="20" spans="1:22" x14ac:dyDescent="0.35">
      <c r="A20" s="49" t="s">
        <v>362</v>
      </c>
      <c r="B20" s="41">
        <v>46023</v>
      </c>
      <c r="C20" s="42">
        <v>1902</v>
      </c>
      <c r="D20" s="42" t="s">
        <v>281</v>
      </c>
      <c r="E20" s="38" t="s">
        <v>283</v>
      </c>
      <c r="F20" s="17">
        <f>VLOOKUP(D20,Performance!A:B,2,0)</f>
        <v>28</v>
      </c>
      <c r="G20" s="17">
        <f>VLOOKUP(D20,Performance!A:C,3,0)</f>
        <v>0</v>
      </c>
      <c r="H20" s="17">
        <f>VLOOKUP(D20,Performance!A:D,4,0)</f>
        <v>0</v>
      </c>
      <c r="I20" s="17">
        <f>VLOOKUP(D20,Performance!A:E,5,0)</f>
        <v>0</v>
      </c>
      <c r="J20" s="17">
        <f>VLOOKUP(D20,Performance!A:F,6,0)</f>
        <v>0</v>
      </c>
      <c r="K20" s="17">
        <f>VLOOKUP(D20,Performance!A:G,7,0)</f>
        <v>20</v>
      </c>
      <c r="L20" s="17">
        <f>VLOOKUP(D20,Performance!A:I,9,0)</f>
        <v>13</v>
      </c>
      <c r="M20" s="17">
        <f>VLOOKUP(D20,Performance!A:H,8,0)</f>
        <v>7</v>
      </c>
      <c r="N20" s="17">
        <f>SUM(N13,N16:N17)</f>
        <v>518</v>
      </c>
      <c r="O20" s="17">
        <f>SUM(O13,O16:O17)</f>
        <v>271</v>
      </c>
      <c r="P20" s="18">
        <f>O20/N20</f>
        <v>0.52316602316602312</v>
      </c>
      <c r="Q20" s="19">
        <f>AVERAGE(Q13,Q16:Q17)</f>
        <v>4.878167641325537</v>
      </c>
      <c r="R20" s="19">
        <f t="shared" ref="R20:S20" si="3">AVERAGE(R13,R16:R17)</f>
        <v>5.2493438320209999E-3</v>
      </c>
      <c r="S20" s="19">
        <f t="shared" si="3"/>
        <v>13.633374951394968</v>
      </c>
      <c r="T20" s="17">
        <f t="shared" ref="T20" si="4">SUM(T13,T16:T17)</f>
        <v>271</v>
      </c>
      <c r="U20" s="17"/>
      <c r="V20" s="30"/>
    </row>
    <row r="21" spans="1:22" x14ac:dyDescent="0.35">
      <c r="A21" s="49" t="s">
        <v>362</v>
      </c>
      <c r="B21" s="32" t="s">
        <v>151</v>
      </c>
      <c r="C21" s="3" t="s">
        <v>166</v>
      </c>
      <c r="D21" s="10" t="s">
        <v>125</v>
      </c>
      <c r="E21" s="39" t="s">
        <v>284</v>
      </c>
      <c r="F21" s="3">
        <f>VLOOKUP(D21,Performance!A:B,2,0)</f>
        <v>28</v>
      </c>
      <c r="G21" s="3">
        <f>VLOOKUP(D21,Performance!A:C,3,0)</f>
        <v>0</v>
      </c>
      <c r="H21" s="3">
        <f>VLOOKUP(D21,Performance!A:D,4,0)</f>
        <v>0</v>
      </c>
      <c r="I21" s="3">
        <f>VLOOKUP(D21,Performance!A:E,5,0)</f>
        <v>0</v>
      </c>
      <c r="J21" s="3">
        <f>VLOOKUP(D21,Performance!A:F,6,0)</f>
        <v>0</v>
      </c>
      <c r="K21" s="3">
        <f>VLOOKUP(D21,Performance!A:G,7,0)</f>
        <v>20</v>
      </c>
      <c r="L21" s="3">
        <f>VLOOKUP(D21,Performance!A:I,9,0)</f>
        <v>17</v>
      </c>
      <c r="M21" s="3">
        <f>VLOOKUP(D21,Performance!A:H,8,0)</f>
        <v>3</v>
      </c>
      <c r="N21" s="3">
        <f>VLOOKUP(D21,Performance!A:J,10,0)</f>
        <v>216</v>
      </c>
      <c r="O21" s="3">
        <f>VLOOKUP(D21,Performance!A:K,11,0)</f>
        <v>163</v>
      </c>
      <c r="P21" s="4">
        <f>VLOOKUP(D21,Performance!A:L,12,0)</f>
        <v>0.75462962962962998</v>
      </c>
      <c r="Q21" s="5">
        <f>VLOOKUP(D21,Performance!A:M,13,0)</f>
        <v>8.15</v>
      </c>
      <c r="R21" s="6">
        <f>VLOOKUP(D21,Performance!A:N,14,0)</f>
        <v>1.49693251533742</v>
      </c>
      <c r="S21" s="6">
        <f>VLOOKUP(D21,Performance!A:O,15,0)</f>
        <v>20.248466257668699</v>
      </c>
      <c r="T21" s="11">
        <f t="shared" ref="T21:T28" si="5">VLOOKUP(D21,performance1,16,0)</f>
        <v>163</v>
      </c>
      <c r="U21" s="3"/>
      <c r="V21" s="11">
        <f t="shared" si="1"/>
        <v>0</v>
      </c>
    </row>
    <row r="22" spans="1:22" x14ac:dyDescent="0.35">
      <c r="A22" s="49" t="s">
        <v>362</v>
      </c>
      <c r="B22" s="32">
        <v>46023</v>
      </c>
      <c r="C22" s="3">
        <v>2020</v>
      </c>
      <c r="D22" s="1" t="s">
        <v>287</v>
      </c>
      <c r="E22" s="39" t="s">
        <v>285</v>
      </c>
      <c r="F22" s="3">
        <f>VLOOKUP(D22,Performance!A:B,2,0)</f>
        <v>28</v>
      </c>
      <c r="G22" s="3">
        <f>VLOOKUP(D22,Performance!A:C,3,0)</f>
        <v>0</v>
      </c>
      <c r="H22" s="3">
        <f>VLOOKUP(D22,Performance!A:D,4,0)</f>
        <v>0</v>
      </c>
      <c r="I22" s="3">
        <f>VLOOKUP(D22,Performance!A:E,5,0)</f>
        <v>0</v>
      </c>
      <c r="J22" s="3">
        <f>VLOOKUP(D22,Performance!A:F,6,0)</f>
        <v>0</v>
      </c>
      <c r="K22" s="3">
        <f>VLOOKUP(D22,Performance!A:G,7,0)</f>
        <v>20</v>
      </c>
      <c r="L22" s="3">
        <f>VLOOKUP(D22,Performance!A:I,9,0)</f>
        <v>18</v>
      </c>
      <c r="M22" s="3">
        <f>VLOOKUP(D22,Performance!A:H,8,0)</f>
        <v>2</v>
      </c>
      <c r="N22" s="3">
        <f>VLOOKUP(D22,Performance!A:J,10,0)</f>
        <v>215</v>
      </c>
      <c r="O22" s="3">
        <f>VLOOKUP(D22,Performance!A:K,11,0)</f>
        <v>148</v>
      </c>
      <c r="P22" s="4">
        <f>VLOOKUP(D22,Performance!A:L,12,0)</f>
        <v>0.68837209302325597</v>
      </c>
      <c r="Q22" s="5">
        <f>VLOOKUP(D22,Performance!A:M,13,0)</f>
        <v>7.8</v>
      </c>
      <c r="R22" s="6">
        <f>VLOOKUP(D22,Performance!A:N,14,0)</f>
        <v>1.2692307692307701</v>
      </c>
      <c r="S22" s="6">
        <f>VLOOKUP(D22,Performance!A:O,15,0)</f>
        <v>17.218055555555601</v>
      </c>
      <c r="T22" s="11">
        <f t="shared" si="5"/>
        <v>156</v>
      </c>
      <c r="U22" s="3"/>
      <c r="V22" s="11">
        <f t="shared" si="1"/>
        <v>8</v>
      </c>
    </row>
    <row r="23" spans="1:22" x14ac:dyDescent="0.35">
      <c r="A23" s="49" t="s">
        <v>362</v>
      </c>
      <c r="B23" s="32">
        <v>46032</v>
      </c>
      <c r="C23" s="3">
        <v>2039</v>
      </c>
      <c r="D23" s="1" t="s">
        <v>288</v>
      </c>
      <c r="E23" s="39" t="s">
        <v>286</v>
      </c>
      <c r="F23" s="3">
        <f>VLOOKUP(D23,Performance!A:B,2,0)</f>
        <v>28</v>
      </c>
      <c r="G23" s="3">
        <f>VLOOKUP(D23,Performance!A:C,3,0)</f>
        <v>0</v>
      </c>
      <c r="H23" s="3">
        <f>VLOOKUP(D23,Performance!A:D,4,0)</f>
        <v>0</v>
      </c>
      <c r="I23" s="3">
        <f>VLOOKUP(D23,Performance!A:E,5,0)</f>
        <v>0</v>
      </c>
      <c r="J23" s="3">
        <f>VLOOKUP(D23,Performance!A:F,6,0)</f>
        <v>0</v>
      </c>
      <c r="K23" s="3">
        <f>VLOOKUP(D23,Performance!A:G,7,0)</f>
        <v>20</v>
      </c>
      <c r="L23" s="3">
        <f>VLOOKUP(D23,Performance!A:I,9,0)</f>
        <v>14</v>
      </c>
      <c r="M23" s="3">
        <f>VLOOKUP(D23,Performance!A:H,8,0)</f>
        <v>6</v>
      </c>
      <c r="N23" s="3">
        <f>VLOOKUP(D23,Performance!A:J,10,0)</f>
        <v>187</v>
      </c>
      <c r="O23" s="3">
        <f>VLOOKUP(D23,Performance!A:K,11,0)</f>
        <v>110</v>
      </c>
      <c r="P23" s="4">
        <f>VLOOKUP(D23,Performance!A:L,12,0)</f>
        <v>0.58823529411764697</v>
      </c>
      <c r="Q23" s="5">
        <f>VLOOKUP(D23,Performance!A:M,13,0)</f>
        <v>6.55</v>
      </c>
      <c r="R23" s="6">
        <f>VLOOKUP(D23,Performance!A:N,14,0)</f>
        <v>1.9160305343511499</v>
      </c>
      <c r="S23" s="6">
        <f>VLOOKUP(D23,Performance!A:O,15,0)</f>
        <v>5.3447837150127198</v>
      </c>
      <c r="T23" s="11">
        <f t="shared" si="5"/>
        <v>131</v>
      </c>
      <c r="U23" s="3"/>
      <c r="V23" s="11">
        <f t="shared" si="1"/>
        <v>21</v>
      </c>
    </row>
    <row r="24" spans="1:22" x14ac:dyDescent="0.35">
      <c r="A24" s="49" t="s">
        <v>362</v>
      </c>
      <c r="B24" s="32" t="s">
        <v>144</v>
      </c>
      <c r="C24" s="3" t="s">
        <v>169</v>
      </c>
      <c r="D24" s="2" t="s">
        <v>65</v>
      </c>
      <c r="E24" s="39" t="s">
        <v>289</v>
      </c>
      <c r="F24" s="3">
        <f>VLOOKUP(D24,Performance!A:B,2,0)</f>
        <v>28</v>
      </c>
      <c r="G24" s="3">
        <f>VLOOKUP(D24,Performance!A:C,3,0)</f>
        <v>0</v>
      </c>
      <c r="H24" s="3">
        <f>VLOOKUP(D24,Performance!A:D,4,0)</f>
        <v>0</v>
      </c>
      <c r="I24" s="3">
        <f>VLOOKUP(D24,Performance!A:E,5,0)</f>
        <v>0</v>
      </c>
      <c r="J24" s="3">
        <f>VLOOKUP(D24,Performance!A:F,6,0)</f>
        <v>0</v>
      </c>
      <c r="K24" s="3">
        <f>VLOOKUP(D24,Performance!A:G,7,0)</f>
        <v>20</v>
      </c>
      <c r="L24" s="3">
        <f>VLOOKUP(D24,Performance!A:I,9,0)</f>
        <v>18</v>
      </c>
      <c r="M24" s="3">
        <f>VLOOKUP(D24,Performance!A:H,8,0)</f>
        <v>2</v>
      </c>
      <c r="N24" s="3">
        <f>VLOOKUP(D24,Performance!A:J,10,0)</f>
        <v>184</v>
      </c>
      <c r="O24" s="3">
        <f>VLOOKUP(D24,Performance!A:K,11,0)</f>
        <v>157</v>
      </c>
      <c r="P24" s="4">
        <f>VLOOKUP(D24,Performance!A:L,12,0)</f>
        <v>0.85326086956521696</v>
      </c>
      <c r="Q24" s="5">
        <f>VLOOKUP(D24,Performance!A:M,13,0)</f>
        <v>7.9</v>
      </c>
      <c r="R24" s="6">
        <f>VLOOKUP(D24,Performance!A:N,14,0)</f>
        <v>0</v>
      </c>
      <c r="S24" s="6">
        <f>VLOOKUP(D24,Performance!A:O,15,0)</f>
        <v>15.1150843881857</v>
      </c>
      <c r="T24" s="11">
        <f t="shared" si="5"/>
        <v>158</v>
      </c>
      <c r="U24" s="3"/>
      <c r="V24" s="11">
        <f t="shared" si="1"/>
        <v>1</v>
      </c>
    </row>
    <row r="25" spans="1:22" x14ac:dyDescent="0.35">
      <c r="A25" s="49" t="s">
        <v>362</v>
      </c>
      <c r="B25" s="32" t="s">
        <v>170</v>
      </c>
      <c r="C25" s="3" t="s">
        <v>171</v>
      </c>
      <c r="D25" s="2" t="s">
        <v>117</v>
      </c>
      <c r="E25" s="39" t="s">
        <v>290</v>
      </c>
      <c r="F25" s="3">
        <f>VLOOKUP(D25,Performance!A:B,2,0)</f>
        <v>28</v>
      </c>
      <c r="G25" s="3">
        <f>VLOOKUP(D25,Performance!A:C,3,0)</f>
        <v>0</v>
      </c>
      <c r="H25" s="3">
        <f>VLOOKUP(D25,Performance!A:D,4,0)</f>
        <v>0</v>
      </c>
      <c r="I25" s="3">
        <f>VLOOKUP(D25,Performance!A:E,5,0)</f>
        <v>0</v>
      </c>
      <c r="J25" s="3">
        <f>VLOOKUP(D25,Performance!A:F,6,0)</f>
        <v>0</v>
      </c>
      <c r="K25" s="3">
        <f>VLOOKUP(D25,Performance!A:G,7,0)</f>
        <v>20</v>
      </c>
      <c r="L25" s="3">
        <f>VLOOKUP(D25,Performance!A:I,9,0)</f>
        <v>16</v>
      </c>
      <c r="M25" s="3">
        <f>VLOOKUP(D25,Performance!A:H,8,0)</f>
        <v>4</v>
      </c>
      <c r="N25" s="3">
        <f>VLOOKUP(D25,Performance!A:J,10,0)</f>
        <v>147</v>
      </c>
      <c r="O25" s="3">
        <f>VLOOKUP(D25,Performance!A:K,11,0)</f>
        <v>123</v>
      </c>
      <c r="P25" s="4">
        <f>VLOOKUP(D25,Performance!A:L,12,0)</f>
        <v>0.83673469387755095</v>
      </c>
      <c r="Q25" s="5">
        <f>VLOOKUP(D25,Performance!A:M,13,0)</f>
        <v>6.15</v>
      </c>
      <c r="R25" s="6">
        <f>VLOOKUP(D25,Performance!A:N,14,0)</f>
        <v>1.82113821138211</v>
      </c>
      <c r="S25" s="6">
        <f>VLOOKUP(D25,Performance!A:O,15,0)</f>
        <v>25.008401084010799</v>
      </c>
      <c r="T25" s="11">
        <f t="shared" si="5"/>
        <v>123</v>
      </c>
      <c r="U25" s="3"/>
      <c r="V25" s="11">
        <f t="shared" si="1"/>
        <v>0</v>
      </c>
    </row>
    <row r="26" spans="1:22" x14ac:dyDescent="0.35">
      <c r="A26" s="49" t="s">
        <v>362</v>
      </c>
      <c r="B26" s="32">
        <v>46023</v>
      </c>
      <c r="C26" s="3">
        <v>2021</v>
      </c>
      <c r="D26" s="1" t="s">
        <v>292</v>
      </c>
      <c r="E26" s="39" t="s">
        <v>291</v>
      </c>
      <c r="F26" s="3">
        <f>VLOOKUP(D26,Performance!A:B,2,0)</f>
        <v>28</v>
      </c>
      <c r="G26" s="3">
        <f>VLOOKUP(D26,Performance!A:C,3,0)</f>
        <v>0</v>
      </c>
      <c r="H26" s="3">
        <f>VLOOKUP(D26,Performance!A:D,4,0)</f>
        <v>0</v>
      </c>
      <c r="I26" s="3">
        <f>VLOOKUP(D26,Performance!A:E,5,0)</f>
        <v>0</v>
      </c>
      <c r="J26" s="3">
        <f>VLOOKUP(D26,Performance!A:F,6,0)</f>
        <v>0</v>
      </c>
      <c r="K26" s="3">
        <f>VLOOKUP(D26,Performance!A:G,7,0)</f>
        <v>20</v>
      </c>
      <c r="L26" s="3">
        <f>VLOOKUP(D26,Performance!A:I,9,0)</f>
        <v>18</v>
      </c>
      <c r="M26" s="3">
        <f>VLOOKUP(D26,Performance!A:H,8,0)</f>
        <v>2</v>
      </c>
      <c r="N26" s="3">
        <f>VLOOKUP(D26,Performance!A:J,10,0)</f>
        <v>156</v>
      </c>
      <c r="O26" s="3">
        <f>VLOOKUP(D26,Performance!A:K,11,0)</f>
        <v>169</v>
      </c>
      <c r="P26" s="4">
        <f>VLOOKUP(D26,Performance!A:L,12,0)</f>
        <v>1.0833333333333299</v>
      </c>
      <c r="Q26" s="5">
        <f>VLOOKUP(D26,Performance!A:M,13,0)</f>
        <v>8.4499999999999993</v>
      </c>
      <c r="R26" s="6">
        <f>VLOOKUP(D26,Performance!A:N,14,0)</f>
        <v>1.7692307692307701</v>
      </c>
      <c r="S26" s="6">
        <f>VLOOKUP(D26,Performance!A:O,15,0)</f>
        <v>5.2704142011834296</v>
      </c>
      <c r="T26" s="11">
        <f t="shared" si="5"/>
        <v>169</v>
      </c>
      <c r="U26" s="3"/>
      <c r="V26" s="11">
        <f t="shared" si="1"/>
        <v>0</v>
      </c>
    </row>
    <row r="27" spans="1:22" x14ac:dyDescent="0.35">
      <c r="A27" s="49" t="s">
        <v>362</v>
      </c>
      <c r="B27" s="32" t="s">
        <v>174</v>
      </c>
      <c r="C27" s="3" t="s">
        <v>175</v>
      </c>
      <c r="D27" s="2" t="s">
        <v>26</v>
      </c>
      <c r="E27" s="39" t="s">
        <v>293</v>
      </c>
      <c r="F27" s="3">
        <f>VLOOKUP(D27,Performance!A:B,2,0)</f>
        <v>28</v>
      </c>
      <c r="G27" s="3">
        <f>VLOOKUP(D27,Performance!A:C,3,0)</f>
        <v>0</v>
      </c>
      <c r="H27" s="3">
        <f>VLOOKUP(D27,Performance!A:D,4,0)</f>
        <v>0</v>
      </c>
      <c r="I27" s="3">
        <f>VLOOKUP(D27,Performance!A:E,5,0)</f>
        <v>0</v>
      </c>
      <c r="J27" s="3">
        <f>VLOOKUP(D27,Performance!A:F,6,0)</f>
        <v>0</v>
      </c>
      <c r="K27" s="3">
        <f>VLOOKUP(D27,Performance!A:G,7,0)</f>
        <v>20</v>
      </c>
      <c r="L27" s="3">
        <f>VLOOKUP(D27,Performance!A:I,9,0)</f>
        <v>17</v>
      </c>
      <c r="M27" s="3">
        <f>VLOOKUP(D27,Performance!A:H,8,0)</f>
        <v>3</v>
      </c>
      <c r="N27" s="3">
        <f>VLOOKUP(D27,Performance!A:J,10,0)</f>
        <v>232</v>
      </c>
      <c r="O27" s="3">
        <f>VLOOKUP(D27,Performance!A:K,11,0)</f>
        <v>163</v>
      </c>
      <c r="P27" s="4">
        <f>VLOOKUP(D27,Performance!A:L,12,0)</f>
        <v>0.70258620689655205</v>
      </c>
      <c r="Q27" s="5">
        <f>VLOOKUP(D27,Performance!A:M,13,0)</f>
        <v>8.15</v>
      </c>
      <c r="R27" s="6">
        <f>VLOOKUP(D27,Performance!A:N,14,0)</f>
        <v>0</v>
      </c>
      <c r="S27" s="6">
        <f>VLOOKUP(D27,Performance!A:O,15,0)</f>
        <v>28.1849693251534</v>
      </c>
      <c r="T27" s="11">
        <f t="shared" si="5"/>
        <v>163</v>
      </c>
      <c r="U27" s="3"/>
      <c r="V27" s="11">
        <f t="shared" si="1"/>
        <v>0</v>
      </c>
    </row>
    <row r="28" spans="1:22" x14ac:dyDescent="0.35">
      <c r="A28" s="49" t="s">
        <v>362</v>
      </c>
      <c r="B28" s="32" t="s">
        <v>144</v>
      </c>
      <c r="C28" s="3" t="s">
        <v>176</v>
      </c>
      <c r="D28" s="2" t="s">
        <v>70</v>
      </c>
      <c r="E28" s="39" t="s">
        <v>294</v>
      </c>
      <c r="F28" s="3">
        <f>VLOOKUP(D28,Performance!A:B,2,0)</f>
        <v>28</v>
      </c>
      <c r="G28" s="3">
        <f>VLOOKUP(D28,Performance!A:C,3,0)</f>
        <v>0</v>
      </c>
      <c r="H28" s="3">
        <f>VLOOKUP(D28,Performance!A:D,4,0)</f>
        <v>0</v>
      </c>
      <c r="I28" s="3">
        <f>VLOOKUP(D28,Performance!A:E,5,0)</f>
        <v>0</v>
      </c>
      <c r="J28" s="3">
        <f>VLOOKUP(D28,Performance!A:F,6,0)</f>
        <v>0</v>
      </c>
      <c r="K28" s="3">
        <f>VLOOKUP(D28,Performance!A:G,7,0)</f>
        <v>20</v>
      </c>
      <c r="L28" s="3">
        <f>VLOOKUP(D28,Performance!A:I,9,0)</f>
        <v>17</v>
      </c>
      <c r="M28" s="3">
        <f>VLOOKUP(D28,Performance!A:H,8,0)</f>
        <v>3</v>
      </c>
      <c r="N28" s="3">
        <f>VLOOKUP(D28,Performance!A:J,10,0)</f>
        <v>212</v>
      </c>
      <c r="O28" s="3">
        <f>VLOOKUP(D28,Performance!A:K,11,0)</f>
        <v>148</v>
      </c>
      <c r="P28" s="4">
        <f>VLOOKUP(D28,Performance!A:L,12,0)</f>
        <v>0.69811320754716999</v>
      </c>
      <c r="Q28" s="5">
        <f>VLOOKUP(D28,Performance!A:M,13,0)</f>
        <v>7.5</v>
      </c>
      <c r="R28" s="6">
        <f>VLOOKUP(D28,Performance!A:N,14,0)</f>
        <v>0</v>
      </c>
      <c r="S28" s="6">
        <f>VLOOKUP(D28,Performance!A:O,15,0)</f>
        <v>12.240222222222201</v>
      </c>
      <c r="T28" s="11">
        <f t="shared" si="5"/>
        <v>150</v>
      </c>
      <c r="U28" s="3"/>
      <c r="V28" s="11">
        <f t="shared" si="1"/>
        <v>2</v>
      </c>
    </row>
    <row r="29" spans="1:22" x14ac:dyDescent="0.35">
      <c r="A29" s="49" t="s">
        <v>362</v>
      </c>
      <c r="B29" s="33"/>
      <c r="C29" s="17"/>
      <c r="D29" s="27" t="s">
        <v>358</v>
      </c>
      <c r="E29" s="38" t="s">
        <v>295</v>
      </c>
      <c r="F29" s="17" t="e">
        <f>VLOOKUP(D29,Performance!A:B,2,0)</f>
        <v>#N/A</v>
      </c>
      <c r="G29" s="17" t="e">
        <f>VLOOKUP(D29,Performance!A:C,3,0)</f>
        <v>#N/A</v>
      </c>
      <c r="H29" s="17" t="e">
        <f>VLOOKUP(D29,Performance!A:D,4,0)</f>
        <v>#N/A</v>
      </c>
      <c r="I29" s="17" t="e">
        <f>VLOOKUP(D29,Performance!A:E,5,0)</f>
        <v>#N/A</v>
      </c>
      <c r="J29" s="17" t="e">
        <f>VLOOKUP(D29,Performance!A:F,6,0)</f>
        <v>#N/A</v>
      </c>
      <c r="K29" s="17" t="e">
        <f>VLOOKUP(D29,Performance!A:G,7,0)</f>
        <v>#N/A</v>
      </c>
      <c r="L29" s="17" t="e">
        <f>VLOOKUP(D29,Performance!A:I,9,0)</f>
        <v>#N/A</v>
      </c>
      <c r="M29" s="17" t="e">
        <f>VLOOKUP(D29,Performance!A:H,8,0)</f>
        <v>#N/A</v>
      </c>
      <c r="N29" s="17">
        <f>SUM(N24:N25,N27:N28)</f>
        <v>775</v>
      </c>
      <c r="O29" s="17">
        <f>SUM(O24:O25,O27:O28)</f>
        <v>591</v>
      </c>
      <c r="P29" s="18">
        <f>O29/N29</f>
        <v>0.76258064516129032</v>
      </c>
      <c r="Q29" s="19">
        <f>AVERAGE(Q24:Q25,Q27:Q28)</f>
        <v>7.4250000000000007</v>
      </c>
      <c r="R29" s="19">
        <f t="shared" ref="R29:S29" si="6">AVERAGE(R24:R25,R27:R28)</f>
        <v>0.45528455284552749</v>
      </c>
      <c r="S29" s="19">
        <f t="shared" si="6"/>
        <v>20.137169254893024</v>
      </c>
      <c r="T29" s="17">
        <f t="shared" ref="T29" si="7">SUM(T24:T25,T27:T28)</f>
        <v>594</v>
      </c>
      <c r="U29" s="17"/>
      <c r="V29" s="30"/>
    </row>
    <row r="30" spans="1:22" x14ac:dyDescent="0.35">
      <c r="A30" s="49" t="s">
        <v>362</v>
      </c>
      <c r="B30" s="32">
        <v>46023</v>
      </c>
      <c r="C30" s="3">
        <v>1992</v>
      </c>
      <c r="D30" s="1" t="s">
        <v>298</v>
      </c>
      <c r="E30" s="39" t="s">
        <v>296</v>
      </c>
      <c r="F30" s="3">
        <f>VLOOKUP(D30,Performance!A:B,2,0)</f>
        <v>28</v>
      </c>
      <c r="G30" s="3">
        <f>VLOOKUP(D30,Performance!A:C,3,0)</f>
        <v>0</v>
      </c>
      <c r="H30" s="3">
        <f>VLOOKUP(D30,Performance!A:D,4,0)</f>
        <v>0</v>
      </c>
      <c r="I30" s="3">
        <f>VLOOKUP(D30,Performance!A:E,5,0)</f>
        <v>1</v>
      </c>
      <c r="J30" s="3">
        <f>VLOOKUP(D30,Performance!A:F,6,0)</f>
        <v>1</v>
      </c>
      <c r="K30" s="3">
        <f>VLOOKUP(D30,Performance!A:G,7,0)</f>
        <v>19</v>
      </c>
      <c r="L30" s="3">
        <f>VLOOKUP(D30,Performance!A:I,9,0)</f>
        <v>18</v>
      </c>
      <c r="M30" s="3">
        <f>VLOOKUP(D30,Performance!A:H,8,0)</f>
        <v>1</v>
      </c>
      <c r="N30" s="3">
        <f>VLOOKUP(D30,Performance!A:J,10,0)</f>
        <v>192</v>
      </c>
      <c r="O30" s="3">
        <f>VLOOKUP(D30,Performance!A:K,11,0)</f>
        <v>141</v>
      </c>
      <c r="P30" s="4">
        <f>VLOOKUP(D30,Performance!A:L,12,0)</f>
        <v>0.734375</v>
      </c>
      <c r="Q30" s="5">
        <f>VLOOKUP(D30,Performance!A:M,13,0)</f>
        <v>8.5263157894736796</v>
      </c>
      <c r="R30" s="6">
        <f>VLOOKUP(D30,Performance!A:N,14,0)</f>
        <v>1.3641975308642</v>
      </c>
      <c r="S30" s="6">
        <f>VLOOKUP(D30,Performance!A:O,15,0)</f>
        <v>11.561213991769501</v>
      </c>
      <c r="T30" s="11">
        <f t="shared" ref="T30:T36" si="8">VLOOKUP(D30,performance1,16,0)</f>
        <v>162</v>
      </c>
      <c r="U30" s="3"/>
      <c r="V30" s="11">
        <f t="shared" si="1"/>
        <v>21</v>
      </c>
    </row>
    <row r="31" spans="1:22" x14ac:dyDescent="0.35">
      <c r="A31" s="49" t="s">
        <v>362</v>
      </c>
      <c r="B31" s="32">
        <v>46023</v>
      </c>
      <c r="C31" s="3">
        <v>1995</v>
      </c>
      <c r="D31" s="1" t="s">
        <v>299</v>
      </c>
      <c r="E31" s="39" t="s">
        <v>297</v>
      </c>
      <c r="F31" s="3">
        <f>VLOOKUP(D31,Performance!A:B,2,0)</f>
        <v>28</v>
      </c>
      <c r="G31" s="3">
        <f>VLOOKUP(D31,Performance!A:C,3,0)</f>
        <v>0</v>
      </c>
      <c r="H31" s="3">
        <f>VLOOKUP(D31,Performance!A:D,4,0)</f>
        <v>1</v>
      </c>
      <c r="I31" s="3">
        <f>VLOOKUP(D31,Performance!A:E,5,0)</f>
        <v>1</v>
      </c>
      <c r="J31" s="3">
        <f>VLOOKUP(D31,Performance!A:F,6,0)</f>
        <v>2</v>
      </c>
      <c r="K31" s="3">
        <f>VLOOKUP(D31,Performance!A:G,7,0)</f>
        <v>18</v>
      </c>
      <c r="L31" s="3">
        <f>VLOOKUP(D31,Performance!A:I,9,0)</f>
        <v>17</v>
      </c>
      <c r="M31" s="3">
        <f>VLOOKUP(D31,Performance!A:H,8,0)</f>
        <v>1</v>
      </c>
      <c r="N31" s="3">
        <f>VLOOKUP(D31,Performance!A:J,10,0)</f>
        <v>159</v>
      </c>
      <c r="O31" s="3">
        <f>VLOOKUP(D31,Performance!A:K,11,0)</f>
        <v>137</v>
      </c>
      <c r="P31" s="4">
        <f>VLOOKUP(D31,Performance!A:L,12,0)</f>
        <v>0.86163522012578597</v>
      </c>
      <c r="Q31" s="5">
        <f>VLOOKUP(D31,Performance!A:M,13,0)</f>
        <v>8.6111111111111107</v>
      </c>
      <c r="R31" s="6">
        <f>VLOOKUP(D31,Performance!A:N,14,0)</f>
        <v>0</v>
      </c>
      <c r="S31" s="6">
        <f>VLOOKUP(D31,Performance!A:O,15,0)</f>
        <v>12.2909677419355</v>
      </c>
      <c r="T31" s="11">
        <f t="shared" si="8"/>
        <v>155</v>
      </c>
      <c r="U31" s="3"/>
      <c r="V31" s="11">
        <f t="shared" si="1"/>
        <v>18</v>
      </c>
    </row>
    <row r="32" spans="1:22" x14ac:dyDescent="0.35">
      <c r="A32" s="49" t="s">
        <v>362</v>
      </c>
      <c r="B32" s="32">
        <v>46023</v>
      </c>
      <c r="C32" s="3">
        <v>1994</v>
      </c>
      <c r="D32" s="1" t="s">
        <v>303</v>
      </c>
      <c r="E32" s="39" t="s">
        <v>300</v>
      </c>
      <c r="F32" s="3">
        <f>VLOOKUP(D32,Performance!A:B,2,0)</f>
        <v>28</v>
      </c>
      <c r="G32" s="3">
        <f>VLOOKUP(D32,Performance!A:C,3,0)</f>
        <v>0</v>
      </c>
      <c r="H32" s="3">
        <f>VLOOKUP(D32,Performance!A:D,4,0)</f>
        <v>2</v>
      </c>
      <c r="I32" s="3">
        <f>VLOOKUP(D32,Performance!A:E,5,0)</f>
        <v>1</v>
      </c>
      <c r="J32" s="3">
        <f>VLOOKUP(D32,Performance!A:F,6,0)</f>
        <v>3</v>
      </c>
      <c r="K32" s="3">
        <f>VLOOKUP(D32,Performance!A:G,7,0)</f>
        <v>17</v>
      </c>
      <c r="L32" s="3">
        <f>VLOOKUP(D32,Performance!A:I,9,0)</f>
        <v>17</v>
      </c>
      <c r="M32" s="3">
        <f>VLOOKUP(D32,Performance!A:H,8,0)</f>
        <v>0</v>
      </c>
      <c r="N32" s="3">
        <f>VLOOKUP(D32,Performance!A:J,10,0)</f>
        <v>213</v>
      </c>
      <c r="O32" s="3">
        <f>VLOOKUP(D32,Performance!A:K,11,0)</f>
        <v>132</v>
      </c>
      <c r="P32" s="4">
        <f>VLOOKUP(D32,Performance!A:L,12,0)</f>
        <v>0.61971830985915499</v>
      </c>
      <c r="Q32" s="5">
        <f>VLOOKUP(D32,Performance!A:M,13,0)</f>
        <v>8.1764705882352899</v>
      </c>
      <c r="R32" s="6">
        <f>VLOOKUP(D32,Performance!A:N,14,0)</f>
        <v>1.02158273381295</v>
      </c>
      <c r="S32" s="6">
        <f>VLOOKUP(D32,Performance!A:O,15,0)</f>
        <v>7.2068345323741001</v>
      </c>
      <c r="T32" s="11">
        <f t="shared" si="8"/>
        <v>139</v>
      </c>
      <c r="U32" s="3"/>
      <c r="V32" s="11">
        <f t="shared" si="1"/>
        <v>7</v>
      </c>
    </row>
    <row r="33" spans="1:22" x14ac:dyDescent="0.35">
      <c r="A33" s="49" t="s">
        <v>362</v>
      </c>
      <c r="B33" s="32"/>
      <c r="C33" s="3"/>
      <c r="D33" s="37" t="s">
        <v>304</v>
      </c>
      <c r="E33" s="39" t="s">
        <v>301</v>
      </c>
      <c r="F33" s="3" t="e">
        <f>VLOOKUP(D33,Performance!A:B,2,0)</f>
        <v>#N/A</v>
      </c>
      <c r="G33" s="3" t="e">
        <f>VLOOKUP(D33,Performance!A:C,3,0)</f>
        <v>#N/A</v>
      </c>
      <c r="H33" s="3" t="e">
        <f>VLOOKUP(D33,Performance!A:D,4,0)</f>
        <v>#N/A</v>
      </c>
      <c r="I33" s="3" t="e">
        <f>VLOOKUP(D33,Performance!A:E,5,0)</f>
        <v>#N/A</v>
      </c>
      <c r="J33" s="3" t="e">
        <f>VLOOKUP(D33,Performance!A:F,6,0)</f>
        <v>#N/A</v>
      </c>
      <c r="K33" s="3" t="e">
        <f>VLOOKUP(D33,Performance!A:G,7,0)</f>
        <v>#N/A</v>
      </c>
      <c r="L33" s="3" t="e">
        <f>VLOOKUP(D33,Performance!A:I,9,0)</f>
        <v>#N/A</v>
      </c>
      <c r="M33" s="3" t="e">
        <f>VLOOKUP(D33,Performance!A:H,8,0)</f>
        <v>#N/A</v>
      </c>
      <c r="N33" s="3" t="e">
        <f>VLOOKUP(D33,Performance!A:J,10,0)</f>
        <v>#N/A</v>
      </c>
      <c r="O33" s="3" t="e">
        <f>VLOOKUP(D33,Performance!A:K,11,0)</f>
        <v>#N/A</v>
      </c>
      <c r="P33" s="4" t="e">
        <f>VLOOKUP(D33,Performance!A:L,12,0)</f>
        <v>#N/A</v>
      </c>
      <c r="Q33" s="5" t="e">
        <f>VLOOKUP(D33,Performance!A:M,13,0)</f>
        <v>#N/A</v>
      </c>
      <c r="R33" s="6" t="e">
        <f>VLOOKUP(D33,Performance!A:N,14,0)</f>
        <v>#N/A</v>
      </c>
      <c r="S33" s="6" t="e">
        <f>VLOOKUP(D33,Performance!A:O,15,0)</f>
        <v>#N/A</v>
      </c>
      <c r="T33" s="11" t="e">
        <f t="shared" si="8"/>
        <v>#N/A</v>
      </c>
      <c r="U33" s="3"/>
      <c r="V33" s="11" t="e">
        <f t="shared" si="1"/>
        <v>#N/A</v>
      </c>
    </row>
    <row r="34" spans="1:22" x14ac:dyDescent="0.35">
      <c r="A34" s="49" t="s">
        <v>362</v>
      </c>
      <c r="B34" s="32">
        <v>46023</v>
      </c>
      <c r="C34" s="3">
        <v>1993</v>
      </c>
      <c r="D34" s="1" t="s">
        <v>305</v>
      </c>
      <c r="E34" s="39" t="s">
        <v>302</v>
      </c>
      <c r="F34" s="3">
        <f>VLOOKUP(D34,Performance!A:B,2,0)</f>
        <v>28</v>
      </c>
      <c r="G34" s="3">
        <f>VLOOKUP(D34,Performance!A:C,3,0)</f>
        <v>0</v>
      </c>
      <c r="H34" s="3">
        <f>VLOOKUP(D34,Performance!A:D,4,0)</f>
        <v>1</v>
      </c>
      <c r="I34" s="3">
        <f>VLOOKUP(D34,Performance!A:E,5,0)</f>
        <v>1</v>
      </c>
      <c r="J34" s="3">
        <f>VLOOKUP(D34,Performance!A:F,6,0)</f>
        <v>2</v>
      </c>
      <c r="K34" s="3">
        <f>VLOOKUP(D34,Performance!A:G,7,0)</f>
        <v>18</v>
      </c>
      <c r="L34" s="3">
        <f>VLOOKUP(D34,Performance!A:I,9,0)</f>
        <v>18</v>
      </c>
      <c r="M34" s="3">
        <f>VLOOKUP(D34,Performance!A:H,8,0)</f>
        <v>0</v>
      </c>
      <c r="N34" s="3">
        <f>VLOOKUP(D34,Performance!A:J,10,0)</f>
        <v>198</v>
      </c>
      <c r="O34" s="3">
        <f>VLOOKUP(D34,Performance!A:K,11,0)</f>
        <v>92</v>
      </c>
      <c r="P34" s="4">
        <f>VLOOKUP(D34,Performance!A:L,12,0)</f>
        <v>0.46464646464646497</v>
      </c>
      <c r="Q34" s="5">
        <f>VLOOKUP(D34,Performance!A:M,13,0)</f>
        <v>7.8333333333333304</v>
      </c>
      <c r="R34" s="6">
        <f>VLOOKUP(D34,Performance!A:N,14,0)</f>
        <v>0</v>
      </c>
      <c r="S34" s="6">
        <f>VLOOKUP(D34,Performance!A:O,15,0)</f>
        <v>5.1261229314420804</v>
      </c>
      <c r="T34" s="11">
        <f t="shared" si="8"/>
        <v>141</v>
      </c>
      <c r="U34" s="3"/>
      <c r="V34" s="11">
        <f t="shared" si="1"/>
        <v>49</v>
      </c>
    </row>
    <row r="35" spans="1:22" x14ac:dyDescent="0.35">
      <c r="A35" s="49" t="s">
        <v>362</v>
      </c>
      <c r="B35" s="32">
        <v>46054</v>
      </c>
      <c r="C35" s="3">
        <v>2133</v>
      </c>
      <c r="D35" s="1" t="s">
        <v>350</v>
      </c>
      <c r="E35" s="39" t="s">
        <v>306</v>
      </c>
      <c r="F35" s="3">
        <f>VLOOKUP(D35,Performance!A:B,2,0)</f>
        <v>28</v>
      </c>
      <c r="G35" s="3">
        <f>VLOOKUP(D35,Performance!A:C,3,0)</f>
        <v>0</v>
      </c>
      <c r="H35" s="3">
        <f>VLOOKUP(D35,Performance!A:D,4,0)</f>
        <v>0</v>
      </c>
      <c r="I35" s="3">
        <f>VLOOKUP(D35,Performance!A:E,5,0)</f>
        <v>0</v>
      </c>
      <c r="J35" s="3">
        <f>VLOOKUP(D35,Performance!A:F,6,0)</f>
        <v>0</v>
      </c>
      <c r="K35" s="3">
        <f>VLOOKUP(D35,Performance!A:G,7,0)</f>
        <v>20</v>
      </c>
      <c r="L35" s="3">
        <f>VLOOKUP(D35,Performance!A:I,9,0)</f>
        <v>7</v>
      </c>
      <c r="M35" s="3">
        <f>VLOOKUP(D35,Performance!A:H,8,0)</f>
        <v>13</v>
      </c>
      <c r="N35" s="3">
        <f>VLOOKUP(D35,Performance!A:J,10,0)</f>
        <v>137</v>
      </c>
      <c r="O35" s="3">
        <f>VLOOKUP(D35,Performance!A:K,11,0)</f>
        <v>35</v>
      </c>
      <c r="P35" s="4">
        <f>VLOOKUP(D35,Performance!A:L,12,0)</f>
        <v>0.25547445255474499</v>
      </c>
      <c r="Q35" s="5">
        <f>VLOOKUP(D35,Performance!A:M,13,0)</f>
        <v>2</v>
      </c>
      <c r="R35" s="6">
        <f>VLOOKUP(D35,Performance!A:N,14,0)</f>
        <v>0.5</v>
      </c>
      <c r="S35" s="6">
        <f>VLOOKUP(D35,Performance!A:O,15,0)</f>
        <v>8.8504166666666695</v>
      </c>
      <c r="T35" s="11">
        <f t="shared" si="8"/>
        <v>40</v>
      </c>
      <c r="U35" s="3"/>
      <c r="V35" s="11">
        <f t="shared" si="1"/>
        <v>5</v>
      </c>
    </row>
    <row r="36" spans="1:22" x14ac:dyDescent="0.35">
      <c r="A36" s="49" t="s">
        <v>362</v>
      </c>
      <c r="B36" s="32" t="s">
        <v>184</v>
      </c>
      <c r="C36" s="3" t="s">
        <v>185</v>
      </c>
      <c r="D36" s="2" t="s">
        <v>29</v>
      </c>
      <c r="E36" s="39" t="s">
        <v>307</v>
      </c>
      <c r="F36" s="3">
        <f>VLOOKUP(D36,Performance!A:B,2,0)</f>
        <v>28</v>
      </c>
      <c r="G36" s="3">
        <f>VLOOKUP(D36,Performance!A:C,3,0)</f>
        <v>0</v>
      </c>
      <c r="H36" s="3">
        <f>VLOOKUP(D36,Performance!A:D,4,0)</f>
        <v>0</v>
      </c>
      <c r="I36" s="3">
        <f>VLOOKUP(D36,Performance!A:E,5,0)</f>
        <v>1.5</v>
      </c>
      <c r="J36" s="3">
        <f>VLOOKUP(D36,Performance!A:F,6,0)</f>
        <v>1.5</v>
      </c>
      <c r="K36" s="3">
        <f>VLOOKUP(D36,Performance!A:G,7,0)</f>
        <v>18.5</v>
      </c>
      <c r="L36" s="3">
        <f>VLOOKUP(D36,Performance!A:I,9,0)</f>
        <v>18</v>
      </c>
      <c r="M36" s="3">
        <f>VLOOKUP(D36,Performance!A:H,8,0)</f>
        <v>0.5</v>
      </c>
      <c r="N36" s="3">
        <f>VLOOKUP(D36,Performance!A:J,10,0)</f>
        <v>224</v>
      </c>
      <c r="O36" s="3">
        <f>VLOOKUP(D36,Performance!A:K,11,0)</f>
        <v>144</v>
      </c>
      <c r="P36" s="4">
        <f>VLOOKUP(D36,Performance!A:L,12,0)</f>
        <v>0.64285714285714302</v>
      </c>
      <c r="Q36" s="5">
        <f>VLOOKUP(D36,Performance!A:M,13,0)</f>
        <v>7.9459459459459501</v>
      </c>
      <c r="R36" s="6">
        <f>VLOOKUP(D36,Performance!A:N,14,0)</f>
        <v>0</v>
      </c>
      <c r="S36" s="6">
        <f>VLOOKUP(D36,Performance!A:O,15,0)</f>
        <v>11.717460317460301</v>
      </c>
      <c r="T36" s="11">
        <f t="shared" si="8"/>
        <v>147</v>
      </c>
      <c r="U36" s="3"/>
      <c r="V36" s="11">
        <f t="shared" si="1"/>
        <v>3</v>
      </c>
    </row>
    <row r="37" spans="1:22" x14ac:dyDescent="0.35">
      <c r="A37" s="49" t="s">
        <v>362</v>
      </c>
      <c r="B37" s="41">
        <v>44703</v>
      </c>
      <c r="C37" s="17">
        <v>576</v>
      </c>
      <c r="D37" s="42" t="s">
        <v>308</v>
      </c>
      <c r="E37" s="38" t="s">
        <v>309</v>
      </c>
      <c r="F37" s="17">
        <f>VLOOKUP(D37,Performance!A:B,2,0)</f>
        <v>28</v>
      </c>
      <c r="G37" s="17">
        <f>VLOOKUP(D37,Performance!A:C,3,0)</f>
        <v>0</v>
      </c>
      <c r="H37" s="17">
        <f>VLOOKUP(D37,Performance!A:D,4,0)</f>
        <v>0</v>
      </c>
      <c r="I37" s="17">
        <f>VLOOKUP(D37,Performance!A:E,5,0)</f>
        <v>0</v>
      </c>
      <c r="J37" s="17">
        <f>VLOOKUP(D37,Performance!A:F,6,0)</f>
        <v>0</v>
      </c>
      <c r="K37" s="17">
        <f>VLOOKUP(D37,Performance!A:G,7,0)</f>
        <v>20</v>
      </c>
      <c r="L37" s="17">
        <f>VLOOKUP(D37,Performance!A:I,9,0)</f>
        <v>11</v>
      </c>
      <c r="M37" s="17">
        <f>VLOOKUP(D37,Performance!A:H,8,0)</f>
        <v>9</v>
      </c>
      <c r="N37" s="17">
        <f>SUM(N36)</f>
        <v>224</v>
      </c>
      <c r="O37" s="17">
        <f>SUM(O36)</f>
        <v>144</v>
      </c>
      <c r="P37" s="18">
        <f>O37/N37</f>
        <v>0.6428571428571429</v>
      </c>
      <c r="Q37" s="19">
        <f>AVERAGE(Q36)</f>
        <v>7.9459459459459501</v>
      </c>
      <c r="R37" s="19">
        <f t="shared" ref="R37:S37" si="9">AVERAGE(R36)</f>
        <v>0</v>
      </c>
      <c r="S37" s="19">
        <f t="shared" si="9"/>
        <v>11.717460317460301</v>
      </c>
      <c r="T37" s="17">
        <f t="shared" ref="T37" si="10">SUM(T36)</f>
        <v>147</v>
      </c>
      <c r="U37" s="17"/>
      <c r="V37" s="30"/>
    </row>
    <row r="38" spans="1:22" x14ac:dyDescent="0.35">
      <c r="A38" s="49" t="s">
        <v>362</v>
      </c>
      <c r="B38" s="32">
        <v>46032</v>
      </c>
      <c r="C38" s="3">
        <v>2024</v>
      </c>
      <c r="D38" s="1" t="s">
        <v>312</v>
      </c>
      <c r="E38" s="39" t="s">
        <v>310</v>
      </c>
      <c r="F38" s="3">
        <f>VLOOKUP(D38,Performance!A:B,2,0)</f>
        <v>28</v>
      </c>
      <c r="G38" s="3">
        <f>VLOOKUP(D38,Performance!A:C,3,0)</f>
        <v>0</v>
      </c>
      <c r="H38" s="3">
        <f>VLOOKUP(D38,Performance!A:D,4,0)</f>
        <v>1</v>
      </c>
      <c r="I38" s="3">
        <f>VLOOKUP(D38,Performance!A:E,5,0)</f>
        <v>1.5</v>
      </c>
      <c r="J38" s="3">
        <f>VLOOKUP(D38,Performance!A:F,6,0)</f>
        <v>2.5</v>
      </c>
      <c r="K38" s="3">
        <f>VLOOKUP(D38,Performance!A:G,7,0)</f>
        <v>17.5</v>
      </c>
      <c r="L38" s="3">
        <f>VLOOKUP(D38,Performance!A:I,9,0)</f>
        <v>18</v>
      </c>
      <c r="M38" s="3">
        <f>VLOOKUP(D38,Performance!A:H,8,0)</f>
        <v>0</v>
      </c>
      <c r="N38" s="3">
        <f>VLOOKUP(D38,Performance!A:J,10,0)</f>
        <v>161</v>
      </c>
      <c r="O38" s="3">
        <f>VLOOKUP(D38,Performance!A:K,11,0)</f>
        <v>161</v>
      </c>
      <c r="P38" s="4">
        <f>VLOOKUP(D38,Performance!A:L,12,0)</f>
        <v>1</v>
      </c>
      <c r="Q38" s="5">
        <f>VLOOKUP(D38,Performance!A:M,13,0)</f>
        <v>9.3142857142857096</v>
      </c>
      <c r="R38" s="6">
        <f>VLOOKUP(D38,Performance!A:N,14,0)</f>
        <v>0.97546012269938698</v>
      </c>
      <c r="S38" s="6">
        <f>VLOOKUP(D38,Performance!A:O,15,0)</f>
        <v>10.4944785276074</v>
      </c>
      <c r="T38" s="11">
        <f t="shared" ref="T38:T45" si="11">VLOOKUP(D38,performance1,16,0)</f>
        <v>163</v>
      </c>
      <c r="U38" s="3"/>
      <c r="V38" s="11">
        <f t="shared" si="1"/>
        <v>2</v>
      </c>
    </row>
    <row r="39" spans="1:22" x14ac:dyDescent="0.35">
      <c r="A39" s="49" t="s">
        <v>362</v>
      </c>
      <c r="B39" s="32" t="s">
        <v>189</v>
      </c>
      <c r="C39" s="3" t="s">
        <v>190</v>
      </c>
      <c r="D39" s="22" t="s">
        <v>137</v>
      </c>
      <c r="E39" s="39" t="s">
        <v>311</v>
      </c>
      <c r="F39" s="3">
        <f>VLOOKUP(D39,Performance!A:B,2,0)</f>
        <v>28</v>
      </c>
      <c r="G39" s="3">
        <f>VLOOKUP(D39,Performance!A:C,3,0)</f>
        <v>0</v>
      </c>
      <c r="H39" s="3">
        <f>VLOOKUP(D39,Performance!A:D,4,0)</f>
        <v>1</v>
      </c>
      <c r="I39" s="3">
        <f>VLOOKUP(D39,Performance!A:E,5,0)</f>
        <v>1.5</v>
      </c>
      <c r="J39" s="3">
        <f>VLOOKUP(D39,Performance!A:F,6,0)</f>
        <v>2.5</v>
      </c>
      <c r="K39" s="3">
        <f>VLOOKUP(D39,Performance!A:G,7,0)</f>
        <v>17.5</v>
      </c>
      <c r="L39" s="3">
        <f>VLOOKUP(D39,Performance!A:I,9,0)</f>
        <v>17</v>
      </c>
      <c r="M39" s="3">
        <f>VLOOKUP(D39,Performance!A:H,8,0)</f>
        <v>0.5</v>
      </c>
      <c r="N39" s="3">
        <f>VLOOKUP(D39,Performance!A:J,10,0)</f>
        <v>128</v>
      </c>
      <c r="O39" s="3">
        <f>VLOOKUP(D39,Performance!A:K,11,0)</f>
        <v>128</v>
      </c>
      <c r="P39" s="4">
        <f>VLOOKUP(D39,Performance!A:L,12,0)</f>
        <v>1</v>
      </c>
      <c r="Q39" s="5">
        <f>VLOOKUP(D39,Performance!A:M,13,0)</f>
        <v>7.3714285714285701</v>
      </c>
      <c r="R39" s="6">
        <f>VLOOKUP(D39,Performance!A:N,14,0)</f>
        <v>1.0077519379844999</v>
      </c>
      <c r="S39" s="6">
        <f>VLOOKUP(D39,Performance!A:O,15,0)</f>
        <v>17.7772609819121</v>
      </c>
      <c r="T39" s="11">
        <f t="shared" si="11"/>
        <v>129</v>
      </c>
      <c r="U39" s="3"/>
      <c r="V39" s="11">
        <f t="shared" si="1"/>
        <v>1</v>
      </c>
    </row>
    <row r="40" spans="1:22" x14ac:dyDescent="0.35">
      <c r="A40" s="49" t="s">
        <v>362</v>
      </c>
      <c r="B40" s="32">
        <v>46023</v>
      </c>
      <c r="C40" s="3">
        <v>2023</v>
      </c>
      <c r="D40" s="1" t="s">
        <v>353</v>
      </c>
      <c r="E40" s="39" t="s">
        <v>313</v>
      </c>
      <c r="F40" s="3">
        <f>VLOOKUP(D40,Performance!A:B,2,0)</f>
        <v>28</v>
      </c>
      <c r="G40" s="3">
        <f>VLOOKUP(D40,Performance!A:C,3,0)</f>
        <v>0</v>
      </c>
      <c r="H40" s="3">
        <f>VLOOKUP(D40,Performance!A:D,4,0)</f>
        <v>1</v>
      </c>
      <c r="I40" s="3">
        <f>VLOOKUP(D40,Performance!A:E,5,0)</f>
        <v>2</v>
      </c>
      <c r="J40" s="3">
        <f>VLOOKUP(D40,Performance!A:F,6,0)</f>
        <v>3</v>
      </c>
      <c r="K40" s="3">
        <f>VLOOKUP(D40,Performance!A:G,7,0)</f>
        <v>17</v>
      </c>
      <c r="L40" s="3">
        <f>VLOOKUP(D40,Performance!A:I,9,0)</f>
        <v>18</v>
      </c>
      <c r="M40" s="3">
        <f>VLOOKUP(D40,Performance!A:H,8,0)</f>
        <v>0</v>
      </c>
      <c r="N40" s="3">
        <f>VLOOKUP(D40,Performance!A:J,10,0)</f>
        <v>146</v>
      </c>
      <c r="O40" s="3">
        <f>VLOOKUP(D40,Performance!A:K,11,0)</f>
        <v>119</v>
      </c>
      <c r="P40" s="4">
        <f>VLOOKUP(D40,Performance!A:L,12,0)</f>
        <v>0.81506849315068497</v>
      </c>
      <c r="Q40" s="5">
        <f>VLOOKUP(D40,Performance!A:M,13,0)</f>
        <v>7.0588235294117601</v>
      </c>
      <c r="R40" s="6">
        <f>VLOOKUP(D40,Performance!A:N,14,0)</f>
        <v>1.99166666666667</v>
      </c>
      <c r="S40" s="6">
        <f>VLOOKUP(D40,Performance!A:O,15,0)</f>
        <v>3.8288888888888901</v>
      </c>
      <c r="T40" s="11">
        <f t="shared" si="11"/>
        <v>120</v>
      </c>
      <c r="U40" s="3"/>
      <c r="V40" s="11">
        <f t="shared" si="1"/>
        <v>1</v>
      </c>
    </row>
    <row r="41" spans="1:22" x14ac:dyDescent="0.35">
      <c r="A41" s="49" t="s">
        <v>362</v>
      </c>
      <c r="B41" s="32" t="s">
        <v>239</v>
      </c>
      <c r="C41" s="3">
        <v>1757</v>
      </c>
      <c r="D41" s="2" t="s">
        <v>243</v>
      </c>
      <c r="E41" s="39" t="s">
        <v>315</v>
      </c>
      <c r="F41" s="3">
        <f>VLOOKUP(D41,Performance!A:B,2,0)</f>
        <v>28</v>
      </c>
      <c r="G41" s="3">
        <f>VLOOKUP(D41,Performance!A:C,3,0)</f>
        <v>0</v>
      </c>
      <c r="H41" s="3">
        <f>VLOOKUP(D41,Performance!A:D,4,0)</f>
        <v>2</v>
      </c>
      <c r="I41" s="3">
        <f>VLOOKUP(D41,Performance!A:E,5,0)</f>
        <v>1.5</v>
      </c>
      <c r="J41" s="3">
        <f>VLOOKUP(D41,Performance!A:F,6,0)</f>
        <v>3.5</v>
      </c>
      <c r="K41" s="3">
        <f>VLOOKUP(D41,Performance!A:G,7,0)</f>
        <v>16.5</v>
      </c>
      <c r="L41" s="3">
        <f>VLOOKUP(D41,Performance!A:I,9,0)</f>
        <v>17</v>
      </c>
      <c r="M41" s="3">
        <f>VLOOKUP(D41,Performance!A:H,8,0)</f>
        <v>0</v>
      </c>
      <c r="N41" s="3">
        <f>VLOOKUP(D41,Performance!A:J,10,0)</f>
        <v>129</v>
      </c>
      <c r="O41" s="3">
        <f>VLOOKUP(D41,Performance!A:K,11,0)</f>
        <v>122</v>
      </c>
      <c r="P41" s="4">
        <f>VLOOKUP(D41,Performance!A:L,12,0)</f>
        <v>0.94573643410852704</v>
      </c>
      <c r="Q41" s="5">
        <f>VLOOKUP(D41,Performance!A:M,13,0)</f>
        <v>7.39393939393939</v>
      </c>
      <c r="R41" s="6">
        <f>VLOOKUP(D41,Performance!A:N,14,0)</f>
        <v>0</v>
      </c>
      <c r="S41" s="6">
        <f>VLOOKUP(D41,Performance!A:O,15,0)</f>
        <v>24.521174863388001</v>
      </c>
      <c r="T41" s="11">
        <f t="shared" si="11"/>
        <v>122</v>
      </c>
      <c r="U41" s="3"/>
      <c r="V41" s="11">
        <f t="shared" si="1"/>
        <v>0</v>
      </c>
    </row>
    <row r="42" spans="1:22" x14ac:dyDescent="0.35">
      <c r="A42" s="49" t="s">
        <v>362</v>
      </c>
      <c r="B42" s="32"/>
      <c r="C42" s="3"/>
      <c r="D42" s="9" t="s">
        <v>341</v>
      </c>
      <c r="E42" s="39" t="s">
        <v>314</v>
      </c>
      <c r="F42" s="3" t="e">
        <f>VLOOKUP(D42,Performance!A:B,2,0)</f>
        <v>#N/A</v>
      </c>
      <c r="G42" s="3" t="e">
        <f>VLOOKUP(D42,Performance!A:C,3,0)</f>
        <v>#N/A</v>
      </c>
      <c r="H42" s="3" t="e">
        <f>VLOOKUP(D42,Performance!A:D,4,0)</f>
        <v>#N/A</v>
      </c>
      <c r="I42" s="3" t="e">
        <f>VLOOKUP(D42,Performance!A:E,5,0)</f>
        <v>#N/A</v>
      </c>
      <c r="J42" s="3" t="e">
        <f>VLOOKUP(D42,Performance!A:F,6,0)</f>
        <v>#N/A</v>
      </c>
      <c r="K42" s="3" t="e">
        <f>VLOOKUP(D42,Performance!A:G,7,0)</f>
        <v>#N/A</v>
      </c>
      <c r="L42" s="3" t="e">
        <f>VLOOKUP(D42,Performance!A:I,9,0)</f>
        <v>#N/A</v>
      </c>
      <c r="M42" s="3" t="e">
        <f>VLOOKUP(D42,Performance!A:H,8,0)</f>
        <v>#N/A</v>
      </c>
      <c r="N42" s="3" t="e">
        <f>VLOOKUP(D42,Performance!A:J,10,0)</f>
        <v>#N/A</v>
      </c>
      <c r="O42" s="3" t="e">
        <f>VLOOKUP(D42,Performance!A:K,11,0)</f>
        <v>#N/A</v>
      </c>
      <c r="P42" s="4" t="e">
        <f>VLOOKUP(D42,Performance!A:L,12,0)</f>
        <v>#N/A</v>
      </c>
      <c r="Q42" s="5" t="e">
        <f>VLOOKUP(D42,Performance!A:M,13,0)</f>
        <v>#N/A</v>
      </c>
      <c r="R42" s="6" t="e">
        <f>VLOOKUP(D42,Performance!A:N,14,0)</f>
        <v>#N/A</v>
      </c>
      <c r="S42" s="6" t="e">
        <f>VLOOKUP(D42,Performance!A:O,15,0)</f>
        <v>#N/A</v>
      </c>
      <c r="T42" s="11" t="e">
        <f t="shared" si="11"/>
        <v>#N/A</v>
      </c>
      <c r="U42" s="3"/>
      <c r="V42" s="11" t="e">
        <f t="shared" si="1"/>
        <v>#N/A</v>
      </c>
    </row>
    <row r="43" spans="1:22" x14ac:dyDescent="0.35">
      <c r="A43" s="49" t="s">
        <v>362</v>
      </c>
      <c r="B43" s="32" t="s">
        <v>144</v>
      </c>
      <c r="C43" s="3" t="s">
        <v>192</v>
      </c>
      <c r="D43" s="2" t="s">
        <v>91</v>
      </c>
      <c r="E43" s="43" t="s">
        <v>251</v>
      </c>
      <c r="F43" s="3">
        <f>VLOOKUP(D43,Performance!A:B,2,0)</f>
        <v>28</v>
      </c>
      <c r="G43" s="3">
        <f>VLOOKUP(D43,Performance!A:C,3,0)</f>
        <v>0</v>
      </c>
      <c r="H43" s="3">
        <f>VLOOKUP(D43,Performance!A:D,4,0)</f>
        <v>2</v>
      </c>
      <c r="I43" s="3">
        <f>VLOOKUP(D43,Performance!A:E,5,0)</f>
        <v>3.5</v>
      </c>
      <c r="J43" s="3">
        <f>VLOOKUP(D43,Performance!A:F,6,0)</f>
        <v>5.5</v>
      </c>
      <c r="K43" s="3">
        <f>VLOOKUP(D43,Performance!A:G,7,0)</f>
        <v>14.5</v>
      </c>
      <c r="L43" s="3">
        <f>VLOOKUP(D43,Performance!A:I,9,0)</f>
        <v>14</v>
      </c>
      <c r="M43" s="3">
        <f>VLOOKUP(D43,Performance!A:H,8,0)</f>
        <v>0.5</v>
      </c>
      <c r="N43" s="3">
        <f>VLOOKUP(D43,Performance!A:J,10,0)</f>
        <v>135</v>
      </c>
      <c r="O43" s="3">
        <f>VLOOKUP(D43,Performance!A:K,11,0)</f>
        <v>129</v>
      </c>
      <c r="P43" s="4">
        <f>VLOOKUP(D43,Performance!A:L,12,0)</f>
        <v>0.95555555555555605</v>
      </c>
      <c r="Q43" s="5">
        <f>VLOOKUP(D43,Performance!A:M,13,0)</f>
        <v>8.8965517241379306</v>
      </c>
      <c r="R43" s="6">
        <f>VLOOKUP(D43,Performance!A:N,14,0)</f>
        <v>0</v>
      </c>
      <c r="S43" s="6">
        <f>VLOOKUP(D43,Performance!A:O,15,0)</f>
        <v>37.735529715762297</v>
      </c>
      <c r="T43" s="11">
        <f t="shared" si="11"/>
        <v>129</v>
      </c>
      <c r="U43" s="3"/>
      <c r="V43" s="11">
        <f t="shared" si="1"/>
        <v>0</v>
      </c>
    </row>
    <row r="44" spans="1:22" x14ac:dyDescent="0.35">
      <c r="A44" s="49" t="s">
        <v>362</v>
      </c>
      <c r="B44" s="32" t="s">
        <v>193</v>
      </c>
      <c r="C44" s="3" t="s">
        <v>194</v>
      </c>
      <c r="D44" s="2" t="s">
        <v>32</v>
      </c>
      <c r="E44" s="43" t="s">
        <v>252</v>
      </c>
      <c r="F44" s="3">
        <f>VLOOKUP(D44,Performance!A:B,2,0)</f>
        <v>28</v>
      </c>
      <c r="G44" s="3">
        <f>VLOOKUP(D44,Performance!A:C,3,0)</f>
        <v>0</v>
      </c>
      <c r="H44" s="3">
        <f>VLOOKUP(D44,Performance!A:D,4,0)</f>
        <v>2</v>
      </c>
      <c r="I44" s="3">
        <f>VLOOKUP(D44,Performance!A:E,5,0)</f>
        <v>1.5</v>
      </c>
      <c r="J44" s="3">
        <f>VLOOKUP(D44,Performance!A:F,6,0)</f>
        <v>3.5</v>
      </c>
      <c r="K44" s="3">
        <f>VLOOKUP(D44,Performance!A:G,7,0)</f>
        <v>16.5</v>
      </c>
      <c r="L44" s="3">
        <f>VLOOKUP(D44,Performance!A:I,9,0)</f>
        <v>17</v>
      </c>
      <c r="M44" s="3">
        <f>VLOOKUP(D44,Performance!A:H,8,0)</f>
        <v>0</v>
      </c>
      <c r="N44" s="3">
        <f>VLOOKUP(D44,Performance!A:J,10,0)</f>
        <v>141</v>
      </c>
      <c r="O44" s="3">
        <f>VLOOKUP(D44,Performance!A:K,11,0)</f>
        <v>121</v>
      </c>
      <c r="P44" s="4">
        <f>VLOOKUP(D44,Performance!A:L,12,0)</f>
        <v>0.85815602836879401</v>
      </c>
      <c r="Q44" s="5">
        <f>VLOOKUP(D44,Performance!A:M,13,0)</f>
        <v>7.3333333333333304</v>
      </c>
      <c r="R44" s="6">
        <f>VLOOKUP(D44,Performance!A:N,14,0)</f>
        <v>9.9173553719008295E-2</v>
      </c>
      <c r="S44" s="6">
        <f>VLOOKUP(D44,Performance!A:O,15,0)</f>
        <v>11.5619834710744</v>
      </c>
      <c r="T44" s="11">
        <f t="shared" si="11"/>
        <v>121</v>
      </c>
      <c r="U44" s="3"/>
      <c r="V44" s="11">
        <f t="shared" si="1"/>
        <v>0</v>
      </c>
    </row>
    <row r="45" spans="1:22" x14ac:dyDescent="0.35">
      <c r="A45" s="49" t="s">
        <v>362</v>
      </c>
      <c r="B45" s="32">
        <v>46032</v>
      </c>
      <c r="C45" s="3">
        <v>2092</v>
      </c>
      <c r="D45" s="1" t="s">
        <v>316</v>
      </c>
      <c r="E45" s="43" t="s">
        <v>253</v>
      </c>
      <c r="F45" s="3">
        <f>VLOOKUP(D45,Performance!A:B,2,0)</f>
        <v>28</v>
      </c>
      <c r="G45" s="3">
        <f>VLOOKUP(D45,Performance!A:C,3,0)</f>
        <v>0</v>
      </c>
      <c r="H45" s="3">
        <f>VLOOKUP(D45,Performance!A:D,4,0)</f>
        <v>0</v>
      </c>
      <c r="I45" s="3">
        <f>VLOOKUP(D45,Performance!A:E,5,0)</f>
        <v>2.5</v>
      </c>
      <c r="J45" s="3">
        <f>VLOOKUP(D45,Performance!A:F,6,0)</f>
        <v>2.5</v>
      </c>
      <c r="K45" s="3">
        <f>VLOOKUP(D45,Performance!A:G,7,0)</f>
        <v>17.5</v>
      </c>
      <c r="L45" s="3">
        <f>VLOOKUP(D45,Performance!A:I,9,0)</f>
        <v>18</v>
      </c>
      <c r="M45" s="3">
        <f>VLOOKUP(D45,Performance!A:H,8,0)</f>
        <v>0</v>
      </c>
      <c r="N45" s="3">
        <f>VLOOKUP(D45,Performance!A:J,10,0)</f>
        <v>149</v>
      </c>
      <c r="O45" s="3">
        <f>VLOOKUP(D45,Performance!A:K,11,0)</f>
        <v>144</v>
      </c>
      <c r="P45" s="4">
        <f>VLOOKUP(D45,Performance!A:L,12,0)</f>
        <v>0.96644295302013405</v>
      </c>
      <c r="Q45" s="5">
        <f>VLOOKUP(D45,Performance!A:M,13,0)</f>
        <v>8.8571428571428594</v>
      </c>
      <c r="R45" s="6">
        <f>VLOOKUP(D45,Performance!A:N,14,0)</f>
        <v>1.98064516129032</v>
      </c>
      <c r="S45" s="6">
        <f>VLOOKUP(D45,Performance!A:O,15,0)</f>
        <v>7.7082795698924702</v>
      </c>
      <c r="T45" s="11">
        <f t="shared" si="11"/>
        <v>155</v>
      </c>
      <c r="U45" s="3"/>
      <c r="V45" s="11">
        <f t="shared" si="1"/>
        <v>11</v>
      </c>
    </row>
    <row r="46" spans="1:22" x14ac:dyDescent="0.35">
      <c r="A46" s="49" t="s">
        <v>362</v>
      </c>
      <c r="B46" s="33" t="s">
        <v>174</v>
      </c>
      <c r="C46" s="17" t="s">
        <v>196</v>
      </c>
      <c r="D46" s="16" t="s">
        <v>34</v>
      </c>
      <c r="E46" s="38" t="s">
        <v>317</v>
      </c>
      <c r="F46" s="17">
        <f>VLOOKUP(D46,Performance!A:B,2,0)</f>
        <v>28</v>
      </c>
      <c r="G46" s="17">
        <f>VLOOKUP(D46,Performance!A:C,3,0)</f>
        <v>0</v>
      </c>
      <c r="H46" s="17">
        <f>VLOOKUP(D46,Performance!A:D,4,0)</f>
        <v>0</v>
      </c>
      <c r="I46" s="17">
        <f>VLOOKUP(D46,Performance!A:E,5,0)</f>
        <v>0</v>
      </c>
      <c r="J46" s="17">
        <f>VLOOKUP(D46,Performance!A:F,6,0)</f>
        <v>0</v>
      </c>
      <c r="K46" s="17">
        <f>VLOOKUP(D46,Performance!A:G,7,0)</f>
        <v>20</v>
      </c>
      <c r="L46" s="17">
        <f>VLOOKUP(D46,Performance!A:I,9,0)</f>
        <v>13</v>
      </c>
      <c r="M46" s="17">
        <f>VLOOKUP(D46,Performance!A:H,8,0)</f>
        <v>7</v>
      </c>
      <c r="N46" s="17">
        <f>SUM(N39,N41,N43:N44)</f>
        <v>533</v>
      </c>
      <c r="O46" s="17">
        <f>SUM(O39,O41,O43:O44)</f>
        <v>500</v>
      </c>
      <c r="P46" s="18">
        <f>O46/N46</f>
        <v>0.93808630393996251</v>
      </c>
      <c r="Q46" s="19">
        <f>AVERAGE(Q39,Q41,Q43:Q44)</f>
        <v>7.7488132557098055</v>
      </c>
      <c r="R46" s="19">
        <f t="shared" ref="R46:S46" si="12">AVERAGE(R39,R41,R43:R44)</f>
        <v>0.27673137292587707</v>
      </c>
      <c r="S46" s="19">
        <f t="shared" si="12"/>
        <v>22.8989872580342</v>
      </c>
      <c r="T46" s="17">
        <f t="shared" ref="T46" si="13">SUM(T39,T41,T43:T44)</f>
        <v>501</v>
      </c>
      <c r="U46" s="17"/>
      <c r="V46" s="30"/>
    </row>
    <row r="47" spans="1:22" x14ac:dyDescent="0.35">
      <c r="A47" s="49" t="s">
        <v>362</v>
      </c>
      <c r="B47" s="32"/>
      <c r="C47" s="3"/>
      <c r="D47" s="9" t="s">
        <v>342</v>
      </c>
      <c r="E47" s="39" t="s">
        <v>318</v>
      </c>
      <c r="F47" s="3" t="e">
        <f>VLOOKUP(D47,Performance!A:B,2,0)</f>
        <v>#N/A</v>
      </c>
      <c r="G47" s="3" t="e">
        <f>VLOOKUP(D47,Performance!A:C,3,0)</f>
        <v>#N/A</v>
      </c>
      <c r="H47" s="3" t="e">
        <f>VLOOKUP(D47,Performance!A:D,4,0)</f>
        <v>#N/A</v>
      </c>
      <c r="I47" s="3" t="e">
        <f>VLOOKUP(D47,Performance!A:E,5,0)</f>
        <v>#N/A</v>
      </c>
      <c r="J47" s="3" t="e">
        <f>VLOOKUP(D47,Performance!A:F,6,0)</f>
        <v>#N/A</v>
      </c>
      <c r="K47" s="3" t="e">
        <f>VLOOKUP(D47,Performance!A:G,7,0)</f>
        <v>#N/A</v>
      </c>
      <c r="L47" s="3" t="e">
        <f>VLOOKUP(D47,Performance!A:I,9,0)</f>
        <v>#N/A</v>
      </c>
      <c r="M47" s="3" t="e">
        <f>VLOOKUP(D47,Performance!A:H,8,0)</f>
        <v>#N/A</v>
      </c>
      <c r="N47" s="3" t="e">
        <f>VLOOKUP(D47,Performance!A:J,10,0)</f>
        <v>#N/A</v>
      </c>
      <c r="O47" s="3" t="e">
        <f>VLOOKUP(D47,Performance!A:K,11,0)</f>
        <v>#N/A</v>
      </c>
      <c r="P47" s="4" t="e">
        <f>VLOOKUP(D47,Performance!A:L,12,0)</f>
        <v>#N/A</v>
      </c>
      <c r="Q47" s="5" t="e">
        <f>VLOOKUP(D47,Performance!A:M,13,0)</f>
        <v>#N/A</v>
      </c>
      <c r="R47" s="6" t="e">
        <f>VLOOKUP(D47,Performance!A:N,14,0)</f>
        <v>#N/A</v>
      </c>
      <c r="S47" s="6" t="e">
        <f>VLOOKUP(D47,Performance!A:O,15,0)</f>
        <v>#N/A</v>
      </c>
      <c r="T47" s="11" t="e">
        <f t="shared" ref="T47:T52" si="14">VLOOKUP(D47,performance1,16,0)</f>
        <v>#N/A</v>
      </c>
      <c r="U47" s="3"/>
      <c r="V47" s="11" t="e">
        <f t="shared" si="1"/>
        <v>#N/A</v>
      </c>
    </row>
    <row r="48" spans="1:22" x14ac:dyDescent="0.35">
      <c r="A48" s="49" t="s">
        <v>362</v>
      </c>
      <c r="B48" s="32" t="s">
        <v>199</v>
      </c>
      <c r="C48" s="3" t="s">
        <v>200</v>
      </c>
      <c r="D48" s="2" t="s">
        <v>23</v>
      </c>
      <c r="E48" s="39" t="s">
        <v>319</v>
      </c>
      <c r="F48" s="3">
        <f>VLOOKUP(D48,Performance!A:B,2,0)</f>
        <v>28</v>
      </c>
      <c r="G48" s="3">
        <f>VLOOKUP(D48,Performance!A:C,3,0)</f>
        <v>0</v>
      </c>
      <c r="H48" s="3">
        <f>VLOOKUP(D48,Performance!A:D,4,0)</f>
        <v>2</v>
      </c>
      <c r="I48" s="3">
        <f>VLOOKUP(D48,Performance!A:E,5,0)</f>
        <v>0</v>
      </c>
      <c r="J48" s="3">
        <f>VLOOKUP(D48,Performance!A:F,6,0)</f>
        <v>2</v>
      </c>
      <c r="K48" s="3">
        <f>VLOOKUP(D48,Performance!A:G,7,0)</f>
        <v>18</v>
      </c>
      <c r="L48" s="3">
        <f>VLOOKUP(D48,Performance!A:I,9,0)</f>
        <v>17</v>
      </c>
      <c r="M48" s="3">
        <f>VLOOKUP(D48,Performance!A:H,8,0)</f>
        <v>1</v>
      </c>
      <c r="N48" s="3">
        <f>VLOOKUP(D48,Performance!A:J,10,0)</f>
        <v>151</v>
      </c>
      <c r="O48" s="3">
        <f>VLOOKUP(D48,Performance!A:K,11,0)</f>
        <v>126</v>
      </c>
      <c r="P48" s="4">
        <f>VLOOKUP(D48,Performance!A:L,12,0)</f>
        <v>0.83443708609271505</v>
      </c>
      <c r="Q48" s="5">
        <f>VLOOKUP(D48,Performance!A:M,13,0)</f>
        <v>7.2777777777777803</v>
      </c>
      <c r="R48" s="6">
        <f>VLOOKUP(D48,Performance!A:N,14,0)</f>
        <v>1.9312977099236599</v>
      </c>
      <c r="S48" s="6">
        <f>VLOOKUP(D48,Performance!A:O,15,0)</f>
        <v>13.690076335877899</v>
      </c>
      <c r="T48" s="11">
        <f t="shared" si="14"/>
        <v>131</v>
      </c>
      <c r="U48" s="3"/>
      <c r="V48" s="11">
        <f t="shared" si="1"/>
        <v>5</v>
      </c>
    </row>
    <row r="49" spans="1:22" x14ac:dyDescent="0.35">
      <c r="A49" s="49" t="s">
        <v>362</v>
      </c>
      <c r="B49" s="32"/>
      <c r="C49" s="3"/>
      <c r="D49" s="9" t="s">
        <v>343</v>
      </c>
      <c r="E49" s="39" t="s">
        <v>320</v>
      </c>
      <c r="F49" s="3" t="e">
        <f>VLOOKUP(D49,Performance!A:B,2,0)</f>
        <v>#N/A</v>
      </c>
      <c r="G49" s="3" t="e">
        <f>VLOOKUP(D49,Performance!A:C,3,0)</f>
        <v>#N/A</v>
      </c>
      <c r="H49" s="3" t="e">
        <f>VLOOKUP(D49,Performance!A:D,4,0)</f>
        <v>#N/A</v>
      </c>
      <c r="I49" s="3" t="e">
        <f>VLOOKUP(D49,Performance!A:E,5,0)</f>
        <v>#N/A</v>
      </c>
      <c r="J49" s="3" t="e">
        <f>VLOOKUP(D49,Performance!A:F,6,0)</f>
        <v>#N/A</v>
      </c>
      <c r="K49" s="3" t="e">
        <f>VLOOKUP(D49,Performance!A:G,7,0)</f>
        <v>#N/A</v>
      </c>
      <c r="L49" s="3" t="e">
        <f>VLOOKUP(D49,Performance!A:I,9,0)</f>
        <v>#N/A</v>
      </c>
      <c r="M49" s="3" t="e">
        <f>VLOOKUP(D49,Performance!A:H,8,0)</f>
        <v>#N/A</v>
      </c>
      <c r="N49" s="3" t="e">
        <f>VLOOKUP(D49,Performance!A:J,10,0)</f>
        <v>#N/A</v>
      </c>
      <c r="O49" s="3" t="e">
        <f>VLOOKUP(D49,Performance!A:K,11,0)</f>
        <v>#N/A</v>
      </c>
      <c r="P49" s="4" t="e">
        <f>VLOOKUP(D49,Performance!A:L,12,0)</f>
        <v>#N/A</v>
      </c>
      <c r="Q49" s="5" t="e">
        <f>VLOOKUP(D49,Performance!A:M,13,0)</f>
        <v>#N/A</v>
      </c>
      <c r="R49" s="6" t="e">
        <f>VLOOKUP(D49,Performance!A:N,14,0)</f>
        <v>#N/A</v>
      </c>
      <c r="S49" s="6" t="e">
        <f>VLOOKUP(D49,Performance!A:O,15,0)</f>
        <v>#N/A</v>
      </c>
      <c r="T49" s="11" t="e">
        <f t="shared" si="14"/>
        <v>#N/A</v>
      </c>
      <c r="U49" s="3"/>
      <c r="V49" s="11" t="e">
        <f t="shared" si="1"/>
        <v>#N/A</v>
      </c>
    </row>
    <row r="50" spans="1:22" x14ac:dyDescent="0.35">
      <c r="A50" s="49" t="s">
        <v>362</v>
      </c>
      <c r="B50" s="32" t="s">
        <v>201</v>
      </c>
      <c r="C50" s="3" t="s">
        <v>202</v>
      </c>
      <c r="D50" s="2" t="s">
        <v>99</v>
      </c>
      <c r="E50" s="39" t="s">
        <v>321</v>
      </c>
      <c r="F50" s="3">
        <f>VLOOKUP(D50,Performance!A:B,2,0)</f>
        <v>28</v>
      </c>
      <c r="G50" s="3">
        <f>VLOOKUP(D50,Performance!A:C,3,0)</f>
        <v>0</v>
      </c>
      <c r="H50" s="3">
        <f>VLOOKUP(D50,Performance!A:D,4,0)</f>
        <v>1</v>
      </c>
      <c r="I50" s="3">
        <f>VLOOKUP(D50,Performance!A:E,5,0)</f>
        <v>0</v>
      </c>
      <c r="J50" s="3">
        <f>VLOOKUP(D50,Performance!A:F,6,0)</f>
        <v>1</v>
      </c>
      <c r="K50" s="3">
        <f>VLOOKUP(D50,Performance!A:G,7,0)</f>
        <v>19</v>
      </c>
      <c r="L50" s="3">
        <f>VLOOKUP(D50,Performance!A:I,9,0)</f>
        <v>16</v>
      </c>
      <c r="M50" s="3">
        <f>VLOOKUP(D50,Performance!A:H,8,0)</f>
        <v>3</v>
      </c>
      <c r="N50" s="3">
        <f>VLOOKUP(D50,Performance!A:J,10,0)</f>
        <v>156</v>
      </c>
      <c r="O50" s="3">
        <f>VLOOKUP(D50,Performance!A:K,11,0)</f>
        <v>140</v>
      </c>
      <c r="P50" s="4">
        <f>VLOOKUP(D50,Performance!A:L,12,0)</f>
        <v>0.89743589743589702</v>
      </c>
      <c r="Q50" s="5">
        <f>VLOOKUP(D50,Performance!A:M,13,0)</f>
        <v>7.5789473684210504</v>
      </c>
      <c r="R50" s="6">
        <f>VLOOKUP(D50,Performance!A:N,14,0)</f>
        <v>0</v>
      </c>
      <c r="S50" s="6">
        <f>VLOOKUP(D50,Performance!A:O,15,0)</f>
        <v>7.4291666666666698</v>
      </c>
      <c r="T50" s="11">
        <f t="shared" si="14"/>
        <v>144</v>
      </c>
      <c r="U50" s="3"/>
      <c r="V50" s="11">
        <f t="shared" si="1"/>
        <v>4</v>
      </c>
    </row>
    <row r="51" spans="1:22" x14ac:dyDescent="0.35">
      <c r="A51" s="49" t="s">
        <v>362</v>
      </c>
      <c r="B51" s="32">
        <v>46066</v>
      </c>
      <c r="C51" s="3">
        <v>2132</v>
      </c>
      <c r="D51" s="1" t="s">
        <v>359</v>
      </c>
      <c r="E51" s="39" t="s">
        <v>322</v>
      </c>
      <c r="F51" s="3">
        <f>VLOOKUP(D51,Performance!A:B,2,0)</f>
        <v>28</v>
      </c>
      <c r="G51" s="3">
        <f>VLOOKUP(D51,Performance!A:C,3,0)</f>
        <v>0</v>
      </c>
      <c r="H51" s="3">
        <f>VLOOKUP(D51,Performance!A:D,4,0)</f>
        <v>0</v>
      </c>
      <c r="I51" s="3">
        <f>VLOOKUP(D51,Performance!A:E,5,0)</f>
        <v>0</v>
      </c>
      <c r="J51" s="3">
        <f>VLOOKUP(D51,Performance!A:F,6,0)</f>
        <v>0</v>
      </c>
      <c r="K51" s="3">
        <f>VLOOKUP(D51,Performance!A:G,7,0)</f>
        <v>20</v>
      </c>
      <c r="L51" s="3">
        <f>VLOOKUP(D51,Performance!A:I,9,0)</f>
        <v>1</v>
      </c>
      <c r="M51" s="3">
        <f>VLOOKUP(D51,Performance!A:H,8,0)</f>
        <v>19</v>
      </c>
      <c r="N51" s="3">
        <f>VLOOKUP(D51,Performance!A:J,10,0)</f>
        <v>168</v>
      </c>
      <c r="O51" s="3">
        <f>VLOOKUP(D51,Performance!A:K,11,0)</f>
        <v>5</v>
      </c>
      <c r="P51" s="4">
        <f>VLOOKUP(D51,Performance!A:L,12,0)</f>
        <v>2.9761904761904798E-2</v>
      </c>
      <c r="Q51" s="5">
        <f>VLOOKUP(D51,Performance!A:M,13,0)</f>
        <v>0.3</v>
      </c>
      <c r="R51" s="6">
        <f>VLOOKUP(D51,Performance!A:N,14,0)</f>
        <v>0.33333333333333298</v>
      </c>
      <c r="S51" s="6">
        <f>VLOOKUP(D51,Performance!A:O,15,0)</f>
        <v>3.6527777777777799</v>
      </c>
      <c r="T51" s="11">
        <f t="shared" si="14"/>
        <v>6</v>
      </c>
      <c r="U51" s="3"/>
      <c r="V51" s="11">
        <f t="shared" si="1"/>
        <v>1</v>
      </c>
    </row>
    <row r="52" spans="1:22" x14ac:dyDescent="0.35">
      <c r="A52" s="49" t="s">
        <v>362</v>
      </c>
      <c r="B52" s="32">
        <v>0</v>
      </c>
      <c r="C52" s="3">
        <v>0</v>
      </c>
      <c r="D52" s="9" t="s">
        <v>250</v>
      </c>
      <c r="E52" s="39" t="s">
        <v>323</v>
      </c>
      <c r="F52" s="3" t="e">
        <f>VLOOKUP(D52,Performance!A:B,2,0)</f>
        <v>#N/A</v>
      </c>
      <c r="G52" s="3" t="e">
        <f>VLOOKUP(D52,Performance!A:C,3,0)</f>
        <v>#N/A</v>
      </c>
      <c r="H52" s="3" t="e">
        <f>VLOOKUP(D52,Performance!A:D,4,0)</f>
        <v>#N/A</v>
      </c>
      <c r="I52" s="3" t="e">
        <f>VLOOKUP(D52,Performance!A:E,5,0)</f>
        <v>#N/A</v>
      </c>
      <c r="J52" s="3" t="e">
        <f>VLOOKUP(D52,Performance!A:F,6,0)</f>
        <v>#N/A</v>
      </c>
      <c r="K52" s="3" t="e">
        <f>VLOOKUP(D52,Performance!A:G,7,0)</f>
        <v>#N/A</v>
      </c>
      <c r="L52" s="3" t="e">
        <f>VLOOKUP(D52,Performance!A:I,9,0)</f>
        <v>#N/A</v>
      </c>
      <c r="M52" s="3" t="e">
        <f>VLOOKUP(D52,Performance!A:H,8,0)</f>
        <v>#N/A</v>
      </c>
      <c r="N52" s="3" t="e">
        <f>VLOOKUP(D52,Performance!A:J,10,0)</f>
        <v>#N/A</v>
      </c>
      <c r="O52" s="3" t="e">
        <f>VLOOKUP(D52,Performance!A:K,11,0)</f>
        <v>#N/A</v>
      </c>
      <c r="P52" s="4" t="e">
        <f>VLOOKUP(D52,Performance!A:L,12,0)</f>
        <v>#N/A</v>
      </c>
      <c r="Q52" s="5" t="e">
        <f>VLOOKUP(D52,Performance!A:M,13,0)</f>
        <v>#N/A</v>
      </c>
      <c r="R52" s="6" t="e">
        <f>VLOOKUP(D52,Performance!A:N,14,0)</f>
        <v>#N/A</v>
      </c>
      <c r="S52" s="6" t="e">
        <f>VLOOKUP(D52,Performance!A:O,15,0)</f>
        <v>#N/A</v>
      </c>
      <c r="T52" s="11" t="e">
        <f t="shared" si="14"/>
        <v>#N/A</v>
      </c>
      <c r="U52" s="3"/>
      <c r="V52" s="11" t="e">
        <f t="shared" si="1"/>
        <v>#N/A</v>
      </c>
    </row>
    <row r="53" spans="1:22" x14ac:dyDescent="0.35">
      <c r="A53" s="49" t="s">
        <v>362</v>
      </c>
      <c r="B53" s="41">
        <v>45444</v>
      </c>
      <c r="C53" s="42">
        <v>1187</v>
      </c>
      <c r="D53" s="42" t="s">
        <v>219</v>
      </c>
      <c r="E53" s="38" t="s">
        <v>324</v>
      </c>
      <c r="F53" s="17">
        <f>VLOOKUP(D53,Performance!A:B,2,0)</f>
        <v>28</v>
      </c>
      <c r="G53" s="17">
        <f>VLOOKUP(D53,Performance!A:C,3,0)</f>
        <v>0</v>
      </c>
      <c r="H53" s="17">
        <f>VLOOKUP(D53,Performance!A:D,4,0)</f>
        <v>0</v>
      </c>
      <c r="I53" s="17">
        <f>VLOOKUP(D53,Performance!A:E,5,0)</f>
        <v>0</v>
      </c>
      <c r="J53" s="17">
        <f>VLOOKUP(D53,Performance!A:F,6,0)</f>
        <v>0</v>
      </c>
      <c r="K53" s="17">
        <f>VLOOKUP(D53,Performance!A:G,7,0)</f>
        <v>20</v>
      </c>
      <c r="L53" s="17">
        <f>VLOOKUP(D53,Performance!A:I,9,0)</f>
        <v>14</v>
      </c>
      <c r="M53" s="17">
        <f>VLOOKUP(D53,Performance!A:H,8,0)</f>
        <v>6</v>
      </c>
      <c r="N53" s="17">
        <f>SUM(N48,N50)</f>
        <v>307</v>
      </c>
      <c r="O53" s="17">
        <f>SUM(O48,O50)</f>
        <v>266</v>
      </c>
      <c r="P53" s="18">
        <f>O53/N53</f>
        <v>0.86644951140065152</v>
      </c>
      <c r="Q53" s="19">
        <f>AVERAGE(Q48,Q50)</f>
        <v>7.4283625730994149</v>
      </c>
      <c r="R53" s="19">
        <f t="shared" ref="R53:S53" si="15">AVERAGE(R48,R50)</f>
        <v>0.96564885496182995</v>
      </c>
      <c r="S53" s="19">
        <f t="shared" si="15"/>
        <v>10.559621501272284</v>
      </c>
      <c r="T53" s="17">
        <f t="shared" ref="T53" si="16">SUM(T48,T50)</f>
        <v>275</v>
      </c>
      <c r="U53" s="17"/>
      <c r="V53" s="30"/>
    </row>
    <row r="54" spans="1:22" x14ac:dyDescent="0.35">
      <c r="A54" s="49" t="s">
        <v>362</v>
      </c>
      <c r="B54" s="32">
        <v>46023</v>
      </c>
      <c r="C54" s="3">
        <v>2009</v>
      </c>
      <c r="D54" s="1" t="s">
        <v>330</v>
      </c>
      <c r="E54" s="39" t="s">
        <v>328</v>
      </c>
      <c r="F54" s="3">
        <f>VLOOKUP(D54,Performance!A:B,2,0)</f>
        <v>28</v>
      </c>
      <c r="G54" s="3">
        <f>VLOOKUP(D54,Performance!A:C,3,0)</f>
        <v>0</v>
      </c>
      <c r="H54" s="3">
        <f>VLOOKUP(D54,Performance!A:D,4,0)</f>
        <v>1</v>
      </c>
      <c r="I54" s="3">
        <f>VLOOKUP(D54,Performance!A:E,5,0)</f>
        <v>1.5</v>
      </c>
      <c r="J54" s="3">
        <f>VLOOKUP(D54,Performance!A:F,6,0)</f>
        <v>2.5</v>
      </c>
      <c r="K54" s="3">
        <f>VLOOKUP(D54,Performance!A:G,7,0)</f>
        <v>17.5</v>
      </c>
      <c r="L54" s="3">
        <f>VLOOKUP(D54,Performance!A:I,9,0)</f>
        <v>18</v>
      </c>
      <c r="M54" s="3">
        <f>VLOOKUP(D54,Performance!A:H,8,0)</f>
        <v>0</v>
      </c>
      <c r="N54" s="3">
        <f>VLOOKUP(D54,Performance!A:J,10,0)</f>
        <v>213</v>
      </c>
      <c r="O54" s="3">
        <f>VLOOKUP(D54,Performance!A:K,11,0)</f>
        <v>164</v>
      </c>
      <c r="P54" s="4">
        <f>VLOOKUP(D54,Performance!A:L,12,0)</f>
        <v>0.76995305164319205</v>
      </c>
      <c r="Q54" s="5">
        <f>VLOOKUP(D54,Performance!A:M,13,0)</f>
        <v>9.3714285714285701</v>
      </c>
      <c r="R54" s="6">
        <f>VLOOKUP(D54,Performance!A:N,14,0)</f>
        <v>1.93292682926829</v>
      </c>
      <c r="S54" s="6">
        <f>VLOOKUP(D54,Performance!A:O,15,0)</f>
        <v>5.33821138211382</v>
      </c>
      <c r="T54" s="11">
        <f t="shared" ref="T54:T59" si="17">VLOOKUP(D54,performance1,16,0)</f>
        <v>164</v>
      </c>
      <c r="U54" s="3"/>
      <c r="V54" s="11">
        <f t="shared" si="1"/>
        <v>0</v>
      </c>
    </row>
    <row r="55" spans="1:22" x14ac:dyDescent="0.35">
      <c r="A55" s="49" t="s">
        <v>362</v>
      </c>
      <c r="B55" s="32" t="s">
        <v>236</v>
      </c>
      <c r="C55" s="3" t="s">
        <v>237</v>
      </c>
      <c r="D55" s="2" t="s">
        <v>238</v>
      </c>
      <c r="E55" s="39" t="s">
        <v>329</v>
      </c>
      <c r="F55" s="3">
        <f>VLOOKUP(D55,Performance!A:B,2,0)</f>
        <v>28</v>
      </c>
      <c r="G55" s="3">
        <f>VLOOKUP(D55,Performance!A:C,3,0)</f>
        <v>0</v>
      </c>
      <c r="H55" s="3">
        <f>VLOOKUP(D55,Performance!A:D,4,0)</f>
        <v>1</v>
      </c>
      <c r="I55" s="3">
        <f>VLOOKUP(D55,Performance!A:E,5,0)</f>
        <v>2.5</v>
      </c>
      <c r="J55" s="3">
        <f>VLOOKUP(D55,Performance!A:F,6,0)</f>
        <v>3.5</v>
      </c>
      <c r="K55" s="3">
        <f>VLOOKUP(D55,Performance!A:G,7,0)</f>
        <v>16.5</v>
      </c>
      <c r="L55" s="3">
        <f>VLOOKUP(D55,Performance!A:I,9,0)</f>
        <v>18</v>
      </c>
      <c r="M55" s="3">
        <f>VLOOKUP(D55,Performance!A:H,8,0)</f>
        <v>0</v>
      </c>
      <c r="N55" s="3">
        <f>VLOOKUP(D55,Performance!A:J,10,0)</f>
        <v>192</v>
      </c>
      <c r="O55" s="3">
        <f>VLOOKUP(D55,Performance!A:K,11,0)</f>
        <v>169</v>
      </c>
      <c r="P55" s="4">
        <f>VLOOKUP(D55,Performance!A:L,12,0)</f>
        <v>0.88020833333333304</v>
      </c>
      <c r="Q55" s="5">
        <f>VLOOKUP(D55,Performance!A:M,13,0)</f>
        <v>10.2424242424242</v>
      </c>
      <c r="R55" s="6">
        <f>VLOOKUP(D55,Performance!A:N,14,0)</f>
        <v>1.0118343195266299</v>
      </c>
      <c r="S55" s="6">
        <f>VLOOKUP(D55,Performance!A:O,15,0)</f>
        <v>19.618145956607499</v>
      </c>
      <c r="T55" s="11">
        <f t="shared" si="17"/>
        <v>169</v>
      </c>
      <c r="U55" s="3"/>
      <c r="V55" s="11">
        <f t="shared" si="1"/>
        <v>0</v>
      </c>
    </row>
    <row r="56" spans="1:22" x14ac:dyDescent="0.35">
      <c r="A56" s="49" t="s">
        <v>362</v>
      </c>
      <c r="B56" s="32"/>
      <c r="C56" s="3"/>
      <c r="D56" s="9" t="s">
        <v>344</v>
      </c>
      <c r="E56" s="39" t="s">
        <v>331</v>
      </c>
      <c r="F56" s="3" t="e">
        <f>VLOOKUP(D56,Performance!A:B,2,0)</f>
        <v>#N/A</v>
      </c>
      <c r="G56" s="3" t="e">
        <f>VLOOKUP(D56,Performance!A:C,3,0)</f>
        <v>#N/A</v>
      </c>
      <c r="H56" s="3" t="e">
        <f>VLOOKUP(D56,Performance!A:D,4,0)</f>
        <v>#N/A</v>
      </c>
      <c r="I56" s="3" t="e">
        <f>VLOOKUP(D56,Performance!A:E,5,0)</f>
        <v>#N/A</v>
      </c>
      <c r="J56" s="3" t="e">
        <f>VLOOKUP(D56,Performance!A:F,6,0)</f>
        <v>#N/A</v>
      </c>
      <c r="K56" s="3" t="e">
        <f>VLOOKUP(D56,Performance!A:G,7,0)</f>
        <v>#N/A</v>
      </c>
      <c r="L56" s="3" t="e">
        <f>VLOOKUP(D56,Performance!A:I,9,0)</f>
        <v>#N/A</v>
      </c>
      <c r="M56" s="3" t="e">
        <f>VLOOKUP(D56,Performance!A:H,8,0)</f>
        <v>#N/A</v>
      </c>
      <c r="N56" s="3" t="e">
        <f>VLOOKUP(D56,Performance!A:J,10,0)</f>
        <v>#N/A</v>
      </c>
      <c r="O56" s="3" t="e">
        <f>VLOOKUP(D56,Performance!A:K,11,0)</f>
        <v>#N/A</v>
      </c>
      <c r="P56" s="4" t="e">
        <f>VLOOKUP(D56,Performance!A:L,12,0)</f>
        <v>#N/A</v>
      </c>
      <c r="Q56" s="5" t="e">
        <f>VLOOKUP(D56,Performance!A:M,13,0)</f>
        <v>#N/A</v>
      </c>
      <c r="R56" s="6" t="e">
        <f>VLOOKUP(D56,Performance!A:N,14,0)</f>
        <v>#N/A</v>
      </c>
      <c r="S56" s="6" t="e">
        <f>VLOOKUP(D56,Performance!A:O,15,0)</f>
        <v>#N/A</v>
      </c>
      <c r="T56" s="11" t="e">
        <f t="shared" si="17"/>
        <v>#N/A</v>
      </c>
      <c r="U56" s="3"/>
      <c r="V56" s="11" t="e">
        <f t="shared" si="1"/>
        <v>#N/A</v>
      </c>
    </row>
    <row r="57" spans="1:22" x14ac:dyDescent="0.35">
      <c r="A57" s="49" t="s">
        <v>362</v>
      </c>
      <c r="B57" s="32" t="s">
        <v>210</v>
      </c>
      <c r="C57" s="3" t="s">
        <v>211</v>
      </c>
      <c r="D57" s="2" t="s">
        <v>36</v>
      </c>
      <c r="E57" s="39" t="s">
        <v>332</v>
      </c>
      <c r="F57" s="3">
        <f>VLOOKUP(D57,Performance!A:B,2,0)</f>
        <v>28</v>
      </c>
      <c r="G57" s="3">
        <f>VLOOKUP(D57,Performance!A:C,3,0)</f>
        <v>0</v>
      </c>
      <c r="H57" s="3">
        <f>VLOOKUP(D57,Performance!A:D,4,0)</f>
        <v>2</v>
      </c>
      <c r="I57" s="3">
        <f>VLOOKUP(D57,Performance!A:E,5,0)</f>
        <v>2.5</v>
      </c>
      <c r="J57" s="3">
        <f>VLOOKUP(D57,Performance!A:F,6,0)</f>
        <v>4.5</v>
      </c>
      <c r="K57" s="3">
        <f>VLOOKUP(D57,Performance!A:G,7,0)</f>
        <v>15.5</v>
      </c>
      <c r="L57" s="3">
        <f>VLOOKUP(D57,Performance!A:I,9,0)</f>
        <v>17</v>
      </c>
      <c r="M57" s="3">
        <f>VLOOKUP(D57,Performance!A:H,8,0)</f>
        <v>0</v>
      </c>
      <c r="N57" s="3">
        <f>VLOOKUP(D57,Performance!A:J,10,0)</f>
        <v>172</v>
      </c>
      <c r="O57" s="3">
        <f>VLOOKUP(D57,Performance!A:K,11,0)</f>
        <v>170</v>
      </c>
      <c r="P57" s="4">
        <f>VLOOKUP(D57,Performance!A:L,12,0)</f>
        <v>0.98837209302325602</v>
      </c>
      <c r="Q57" s="5">
        <f>VLOOKUP(D57,Performance!A:M,13,0)</f>
        <v>10.9677419354839</v>
      </c>
      <c r="R57" s="6">
        <f>VLOOKUP(D57,Performance!A:N,14,0)</f>
        <v>1.9294117647058799</v>
      </c>
      <c r="S57" s="6">
        <f>VLOOKUP(D57,Performance!A:O,15,0)</f>
        <v>22.1271568627451</v>
      </c>
      <c r="T57" s="11">
        <f t="shared" si="17"/>
        <v>170</v>
      </c>
      <c r="U57" s="3"/>
      <c r="V57" s="11">
        <f t="shared" si="1"/>
        <v>0</v>
      </c>
    </row>
    <row r="58" spans="1:22" x14ac:dyDescent="0.35">
      <c r="A58" s="49" t="s">
        <v>362</v>
      </c>
      <c r="B58" s="32">
        <v>46023</v>
      </c>
      <c r="C58" s="3">
        <v>2010</v>
      </c>
      <c r="D58" s="1" t="s">
        <v>327</v>
      </c>
      <c r="E58" s="39" t="s">
        <v>326</v>
      </c>
      <c r="F58" s="3">
        <f>VLOOKUP(D58,Performance!A:B,2,0)</f>
        <v>28</v>
      </c>
      <c r="G58" s="3">
        <f>VLOOKUP(D58,Performance!A:C,3,0)</f>
        <v>0</v>
      </c>
      <c r="H58" s="3">
        <f>VLOOKUP(D58,Performance!A:D,4,0)</f>
        <v>0</v>
      </c>
      <c r="I58" s="3">
        <f>VLOOKUP(D58,Performance!A:E,5,0)</f>
        <v>0.5</v>
      </c>
      <c r="J58" s="3">
        <f>VLOOKUP(D58,Performance!A:F,6,0)</f>
        <v>0.5</v>
      </c>
      <c r="K58" s="3">
        <f>VLOOKUP(D58,Performance!A:G,7,0)</f>
        <v>19.5</v>
      </c>
      <c r="L58" s="3">
        <f>VLOOKUP(D58,Performance!A:I,9,0)</f>
        <v>18</v>
      </c>
      <c r="M58" s="3">
        <f>VLOOKUP(D58,Performance!A:H,8,0)</f>
        <v>1.5</v>
      </c>
      <c r="N58" s="3">
        <f>VLOOKUP(D58,Performance!A:J,10,0)</f>
        <v>256</v>
      </c>
      <c r="O58" s="3">
        <f>VLOOKUP(D58,Performance!A:K,11,0)</f>
        <v>131</v>
      </c>
      <c r="P58" s="4">
        <f>VLOOKUP(D58,Performance!A:L,12,0)</f>
        <v>0.51171875</v>
      </c>
      <c r="Q58" s="5">
        <f>VLOOKUP(D58,Performance!A:M,13,0)</f>
        <v>7.5384615384615401</v>
      </c>
      <c r="R58" s="6">
        <f>VLOOKUP(D58,Performance!A:N,14,0)</f>
        <v>0.80272108843537404</v>
      </c>
      <c r="S58" s="6">
        <f>VLOOKUP(D58,Performance!A:O,15,0)</f>
        <v>3.8502267573696098</v>
      </c>
      <c r="T58" s="11">
        <f t="shared" si="17"/>
        <v>147</v>
      </c>
      <c r="U58" s="3"/>
      <c r="V58" s="11">
        <f t="shared" si="1"/>
        <v>16</v>
      </c>
    </row>
    <row r="59" spans="1:22" x14ac:dyDescent="0.35">
      <c r="A59" s="49" t="s">
        <v>362</v>
      </c>
      <c r="B59" s="32" t="s">
        <v>174</v>
      </c>
      <c r="C59" s="3" t="s">
        <v>204</v>
      </c>
      <c r="D59" s="2" t="s">
        <v>20</v>
      </c>
      <c r="E59" s="39" t="s">
        <v>325</v>
      </c>
      <c r="F59" s="3">
        <f>VLOOKUP(D59,Performance!A:B,2,0)</f>
        <v>28</v>
      </c>
      <c r="G59" s="3">
        <f>VLOOKUP(D59,Performance!A:C,3,0)</f>
        <v>0</v>
      </c>
      <c r="H59" s="3">
        <f>VLOOKUP(D59,Performance!A:D,4,0)</f>
        <v>2</v>
      </c>
      <c r="I59" s="3">
        <f>VLOOKUP(D59,Performance!A:E,5,0)</f>
        <v>1.5</v>
      </c>
      <c r="J59" s="3">
        <f>VLOOKUP(D59,Performance!A:F,6,0)</f>
        <v>3.5</v>
      </c>
      <c r="K59" s="3">
        <f>VLOOKUP(D59,Performance!A:G,7,0)</f>
        <v>16.5</v>
      </c>
      <c r="L59" s="3">
        <f>VLOOKUP(D59,Performance!A:I,9,0)</f>
        <v>17</v>
      </c>
      <c r="M59" s="3">
        <f>VLOOKUP(D59,Performance!A:H,8,0)</f>
        <v>0</v>
      </c>
      <c r="N59" s="3">
        <f>VLOOKUP(D59,Performance!A:J,10,0)</f>
        <v>184</v>
      </c>
      <c r="O59" s="3">
        <f>VLOOKUP(D59,Performance!A:K,11,0)</f>
        <v>161</v>
      </c>
      <c r="P59" s="4">
        <f>VLOOKUP(D59,Performance!A:L,12,0)</f>
        <v>0.875</v>
      </c>
      <c r="Q59" s="5">
        <f>VLOOKUP(D59,Performance!A:M,13,0)</f>
        <v>9.7575757575757596</v>
      </c>
      <c r="R59" s="6">
        <f>VLOOKUP(D59,Performance!A:N,14,0)</f>
        <v>0</v>
      </c>
      <c r="S59" s="6">
        <f>VLOOKUP(D59,Performance!A:O,15,0)</f>
        <v>8.6108695652173903</v>
      </c>
      <c r="T59" s="11">
        <f t="shared" si="17"/>
        <v>161</v>
      </c>
      <c r="U59" s="3"/>
      <c r="V59" s="11">
        <f t="shared" si="1"/>
        <v>0</v>
      </c>
    </row>
    <row r="60" spans="1:22" x14ac:dyDescent="0.35">
      <c r="A60" s="49" t="s">
        <v>362</v>
      </c>
      <c r="B60" s="33"/>
      <c r="C60" s="17"/>
      <c r="D60" s="27" t="s">
        <v>367</v>
      </c>
      <c r="E60" s="38" t="s">
        <v>333</v>
      </c>
      <c r="F60" s="17" t="e">
        <f>VLOOKUP(D60,Performance!A:B,2,0)</f>
        <v>#N/A</v>
      </c>
      <c r="G60" s="17" t="e">
        <f>VLOOKUP(D60,Performance!A:C,3,0)</f>
        <v>#N/A</v>
      </c>
      <c r="H60" s="17" t="e">
        <f>VLOOKUP(D60,Performance!A:D,4,0)</f>
        <v>#N/A</v>
      </c>
      <c r="I60" s="17" t="e">
        <f>VLOOKUP(D60,Performance!A:E,5,0)</f>
        <v>#N/A</v>
      </c>
      <c r="J60" s="17" t="e">
        <f>VLOOKUP(D60,Performance!A:F,6,0)</f>
        <v>#N/A</v>
      </c>
      <c r="K60" s="17" t="e">
        <f>VLOOKUP(D60,Performance!A:G,7,0)</f>
        <v>#N/A</v>
      </c>
      <c r="L60" s="17" t="e">
        <f>VLOOKUP(D60,Performance!A:I,9,0)</f>
        <v>#N/A</v>
      </c>
      <c r="M60" s="17" t="e">
        <f>VLOOKUP(D60,Performance!A:H,8,0)</f>
        <v>#N/A</v>
      </c>
      <c r="N60" s="17">
        <f>SUM(N55,N57,N59)</f>
        <v>548</v>
      </c>
      <c r="O60" s="17">
        <f>SUM(O55,O57,O59)</f>
        <v>500</v>
      </c>
      <c r="P60" s="18">
        <f>O60/N60</f>
        <v>0.91240875912408759</v>
      </c>
      <c r="Q60" s="19">
        <f>AVERAGE(Q55,Q57,Q59)</f>
        <v>10.322580645161286</v>
      </c>
      <c r="R60" s="19">
        <f t="shared" ref="R60:S60" si="18">AVERAGE(R55,R57,R59)</f>
        <v>0.98041536141083663</v>
      </c>
      <c r="S60" s="19">
        <f t="shared" si="18"/>
        <v>16.785390794856664</v>
      </c>
      <c r="T60" s="17">
        <f t="shared" ref="T60" si="19">SUM(T55,T57,T59)</f>
        <v>500</v>
      </c>
      <c r="U60" s="17"/>
      <c r="V60" s="30"/>
    </row>
    <row r="61" spans="1:22" x14ac:dyDescent="0.35">
      <c r="A61" s="49" t="s">
        <v>362</v>
      </c>
      <c r="B61" s="32" t="s">
        <v>239</v>
      </c>
      <c r="C61" s="3" t="s">
        <v>240</v>
      </c>
      <c r="D61" s="2" t="s">
        <v>241</v>
      </c>
      <c r="E61" s="39" t="s">
        <v>336</v>
      </c>
      <c r="F61" s="3">
        <f>VLOOKUP(D61,Performance!A:B,2,0)</f>
        <v>28</v>
      </c>
      <c r="G61" s="3">
        <f>VLOOKUP(D61,Performance!A:C,3,0)</f>
        <v>0</v>
      </c>
      <c r="H61" s="3">
        <f>VLOOKUP(D61,Performance!A:D,4,0)</f>
        <v>0</v>
      </c>
      <c r="I61" s="3">
        <f>VLOOKUP(D61,Performance!A:E,5,0)</f>
        <v>1.5</v>
      </c>
      <c r="J61" s="3">
        <f>VLOOKUP(D61,Performance!A:F,6,0)</f>
        <v>1.5</v>
      </c>
      <c r="K61" s="3">
        <f>VLOOKUP(D61,Performance!A:G,7,0)</f>
        <v>18.5</v>
      </c>
      <c r="L61" s="3">
        <f>VLOOKUP(D61,Performance!A:I,9,0)</f>
        <v>17</v>
      </c>
      <c r="M61" s="3">
        <f>VLOOKUP(D61,Performance!A:H,8,0)</f>
        <v>1.5</v>
      </c>
      <c r="N61" s="3">
        <f>VLOOKUP(D61,Performance!A:J,10,0)</f>
        <v>201</v>
      </c>
      <c r="O61" s="3">
        <f>VLOOKUP(D61,Performance!A:K,11,0)</f>
        <v>172</v>
      </c>
      <c r="P61" s="4">
        <f>VLOOKUP(D61,Performance!A:L,12,0)</f>
        <v>0.85572139303482597</v>
      </c>
      <c r="Q61" s="5">
        <f>VLOOKUP(D61,Performance!A:M,13,0)</f>
        <v>9.3513513513513509</v>
      </c>
      <c r="R61" s="6">
        <f>VLOOKUP(D61,Performance!A:N,14,0)</f>
        <v>0</v>
      </c>
      <c r="S61" s="6">
        <f>VLOOKUP(D61,Performance!A:O,15,0)</f>
        <v>49.7766859344894</v>
      </c>
      <c r="T61" s="11">
        <f>VLOOKUP(D61,performance1,16,0)</f>
        <v>173</v>
      </c>
      <c r="U61" s="3"/>
      <c r="V61" s="11">
        <f t="shared" si="1"/>
        <v>1</v>
      </c>
    </row>
    <row r="62" spans="1:22" x14ac:dyDescent="0.35">
      <c r="A62" s="49" t="s">
        <v>362</v>
      </c>
      <c r="B62" s="32">
        <v>46060</v>
      </c>
      <c r="C62" s="3">
        <v>2130</v>
      </c>
      <c r="D62" s="1" t="s">
        <v>360</v>
      </c>
      <c r="E62" s="39" t="s">
        <v>337</v>
      </c>
      <c r="F62" s="3">
        <f>VLOOKUP(D62,Performance!A:B,2,0)</f>
        <v>28</v>
      </c>
      <c r="G62" s="3">
        <f>VLOOKUP(D62,Performance!A:C,3,0)</f>
        <v>0</v>
      </c>
      <c r="H62" s="3">
        <f>VLOOKUP(D62,Performance!A:D,4,0)</f>
        <v>0</v>
      </c>
      <c r="I62" s="3">
        <f>VLOOKUP(D62,Performance!A:E,5,0)</f>
        <v>0</v>
      </c>
      <c r="J62" s="3">
        <f>VLOOKUP(D62,Performance!A:F,6,0)</f>
        <v>0</v>
      </c>
      <c r="K62" s="3">
        <f>VLOOKUP(D62,Performance!A:G,7,0)</f>
        <v>20</v>
      </c>
      <c r="L62" s="3">
        <f>VLOOKUP(D62,Performance!A:I,9,0)</f>
        <v>5</v>
      </c>
      <c r="M62" s="3">
        <f>VLOOKUP(D62,Performance!A:H,8,0)</f>
        <v>15</v>
      </c>
      <c r="N62" s="3">
        <f>VLOOKUP(D62,Performance!A:J,10,0)</f>
        <v>194</v>
      </c>
      <c r="O62" s="3">
        <f>VLOOKUP(D62,Performance!A:K,11,0)</f>
        <v>34</v>
      </c>
      <c r="P62" s="4">
        <f>VLOOKUP(D62,Performance!A:L,12,0)</f>
        <v>0.17525773195876301</v>
      </c>
      <c r="Q62" s="5">
        <f>VLOOKUP(D62,Performance!A:M,13,0)</f>
        <v>1.75</v>
      </c>
      <c r="R62" s="6">
        <f>VLOOKUP(D62,Performance!A:N,14,0)</f>
        <v>0</v>
      </c>
      <c r="S62" s="6">
        <f>VLOOKUP(D62,Performance!A:O,15,0)</f>
        <v>5.4361904761904798</v>
      </c>
      <c r="T62" s="11">
        <f>VLOOKUP(D62,performance1,16,0)</f>
        <v>35</v>
      </c>
      <c r="U62" s="3"/>
      <c r="V62" s="11">
        <f t="shared" si="1"/>
        <v>1</v>
      </c>
    </row>
    <row r="63" spans="1:22" x14ac:dyDescent="0.35">
      <c r="A63" s="49" t="s">
        <v>362</v>
      </c>
      <c r="B63" s="32" t="s">
        <v>144</v>
      </c>
      <c r="C63" s="3" t="s">
        <v>213</v>
      </c>
      <c r="D63" s="31" t="s">
        <v>111</v>
      </c>
      <c r="E63" s="39" t="s">
        <v>334</v>
      </c>
      <c r="F63" s="3">
        <f>VLOOKUP(D63,Performance!A:B,2,0)</f>
        <v>28</v>
      </c>
      <c r="G63" s="3">
        <f>VLOOKUP(D63,Performance!A:C,3,0)</f>
        <v>0</v>
      </c>
      <c r="H63" s="3">
        <f>VLOOKUP(D63,Performance!A:D,4,0)</f>
        <v>0</v>
      </c>
      <c r="I63" s="3">
        <f>VLOOKUP(D63,Performance!A:E,5,0)</f>
        <v>0.5</v>
      </c>
      <c r="J63" s="3">
        <f>VLOOKUP(D63,Performance!A:F,6,0)</f>
        <v>0.5</v>
      </c>
      <c r="K63" s="3">
        <f>VLOOKUP(D63,Performance!A:G,7,0)</f>
        <v>19.5</v>
      </c>
      <c r="L63" s="3">
        <f>VLOOKUP(D63,Performance!A:I,9,0)</f>
        <v>20</v>
      </c>
      <c r="M63" s="3">
        <f>VLOOKUP(D63,Performance!A:H,8,0)</f>
        <v>0</v>
      </c>
      <c r="N63" s="3">
        <f>VLOOKUP(D63,Performance!A:J,10,0)</f>
        <v>204</v>
      </c>
      <c r="O63" s="3">
        <f>VLOOKUP(D63,Performance!A:K,11,0)</f>
        <v>172</v>
      </c>
      <c r="P63" s="4">
        <f>VLOOKUP(D63,Performance!A:L,12,0)</f>
        <v>0.84313725490196101</v>
      </c>
      <c r="Q63" s="5">
        <f>VLOOKUP(D63,Performance!A:M,13,0)</f>
        <v>8.8205128205128194</v>
      </c>
      <c r="R63" s="6">
        <f>VLOOKUP(D63,Performance!A:N,14,0)</f>
        <v>5.8139534883720903E-3</v>
      </c>
      <c r="S63" s="6">
        <f>VLOOKUP(D63,Performance!A:O,15,0)</f>
        <v>32.028391472868201</v>
      </c>
      <c r="T63" s="11">
        <f>VLOOKUP(D63,performance1,16,0)</f>
        <v>172</v>
      </c>
      <c r="U63" s="40"/>
      <c r="V63" s="11">
        <f t="shared" si="1"/>
        <v>0</v>
      </c>
    </row>
    <row r="64" spans="1:22" x14ac:dyDescent="0.35">
      <c r="A64" s="49" t="s">
        <v>362</v>
      </c>
      <c r="B64" s="32">
        <v>46025</v>
      </c>
      <c r="C64" s="3">
        <v>2022</v>
      </c>
      <c r="D64" s="1" t="s">
        <v>345</v>
      </c>
      <c r="E64" s="39" t="s">
        <v>335</v>
      </c>
      <c r="F64" s="3">
        <f>VLOOKUP(D64,Performance!A:B,2,0)</f>
        <v>28</v>
      </c>
      <c r="G64" s="3">
        <f>VLOOKUP(D64,Performance!A:C,3,0)</f>
        <v>0</v>
      </c>
      <c r="H64" s="3">
        <f>VLOOKUP(D64,Performance!A:D,4,0)</f>
        <v>0</v>
      </c>
      <c r="I64" s="3">
        <f>VLOOKUP(D64,Performance!A:E,5,0)</f>
        <v>1.5</v>
      </c>
      <c r="J64" s="3">
        <f>VLOOKUP(D64,Performance!A:F,6,0)</f>
        <v>1.5</v>
      </c>
      <c r="K64" s="3">
        <f>VLOOKUP(D64,Performance!A:G,7,0)</f>
        <v>18.5</v>
      </c>
      <c r="L64" s="3">
        <f>VLOOKUP(D64,Performance!A:I,9,0)</f>
        <v>16</v>
      </c>
      <c r="M64" s="3">
        <f>VLOOKUP(D64,Performance!A:H,8,0)</f>
        <v>2.5</v>
      </c>
      <c r="N64" s="3">
        <f>VLOOKUP(D64,Performance!A:J,10,0)</f>
        <v>201</v>
      </c>
      <c r="O64" s="3">
        <f>VLOOKUP(D64,Performance!A:K,11,0)</f>
        <v>122</v>
      </c>
      <c r="P64" s="4">
        <f>VLOOKUP(D64,Performance!A:L,12,0)</f>
        <v>0.60696517412935302</v>
      </c>
      <c r="Q64" s="5">
        <f>VLOOKUP(D64,Performance!A:M,13,0)</f>
        <v>6.5945945945945903</v>
      </c>
      <c r="R64" s="6">
        <f>VLOOKUP(D64,Performance!A:N,14,0)</f>
        <v>1.63934426229508E-2</v>
      </c>
      <c r="S64" s="6">
        <f>VLOOKUP(D64,Performance!A:O,15,0)</f>
        <v>9.6163934426229503</v>
      </c>
      <c r="T64" s="11">
        <f>VLOOKUP(D64,performance1,16,0)</f>
        <v>122</v>
      </c>
      <c r="U64" s="40"/>
      <c r="V64" s="11">
        <f t="shared" si="1"/>
        <v>0</v>
      </c>
    </row>
    <row r="65" spans="1:22" x14ac:dyDescent="0.35">
      <c r="A65" s="49" t="s">
        <v>362</v>
      </c>
      <c r="B65" s="32" t="s">
        <v>144</v>
      </c>
      <c r="C65" s="3" t="s">
        <v>215</v>
      </c>
      <c r="D65" s="2" t="s">
        <v>113</v>
      </c>
      <c r="E65" s="39" t="s">
        <v>338</v>
      </c>
      <c r="F65" s="3">
        <f>VLOOKUP(D65,Performance!A:B,2,0)</f>
        <v>28</v>
      </c>
      <c r="G65" s="3">
        <f>VLOOKUP(D65,Performance!A:C,3,0)</f>
        <v>0</v>
      </c>
      <c r="H65" s="3">
        <f>VLOOKUP(D65,Performance!A:D,4,0)</f>
        <v>0</v>
      </c>
      <c r="I65" s="3">
        <f>VLOOKUP(D65,Performance!A:E,5,0)</f>
        <v>2</v>
      </c>
      <c r="J65" s="3">
        <f>VLOOKUP(D65,Performance!A:F,6,0)</f>
        <v>2</v>
      </c>
      <c r="K65" s="3">
        <f>VLOOKUP(D65,Performance!A:G,7,0)</f>
        <v>18</v>
      </c>
      <c r="L65" s="3">
        <f>VLOOKUP(D65,Performance!A:I,9,0)</f>
        <v>17</v>
      </c>
      <c r="M65" s="3">
        <f>VLOOKUP(D65,Performance!A:H,8,0)</f>
        <v>1</v>
      </c>
      <c r="N65" s="3">
        <f>VLOOKUP(D65,Performance!A:J,10,0)</f>
        <v>210</v>
      </c>
      <c r="O65" s="3">
        <f>VLOOKUP(D65,Performance!A:K,11,0)</f>
        <v>157</v>
      </c>
      <c r="P65" s="4">
        <f>VLOOKUP(D65,Performance!A:L,12,0)</f>
        <v>0.74761904761904796</v>
      </c>
      <c r="Q65" s="5">
        <f>VLOOKUP(D65,Performance!A:M,13,0)</f>
        <v>8.7222222222222197</v>
      </c>
      <c r="R65" s="6">
        <f>VLOOKUP(D65,Performance!A:N,14,0)</f>
        <v>1.45859872611465</v>
      </c>
      <c r="S65" s="6">
        <f>VLOOKUP(D65,Performance!A:O,15,0)</f>
        <v>20.741507430997899</v>
      </c>
      <c r="T65" s="11">
        <f>VLOOKUP(D65,performance1,16,0)</f>
        <v>157</v>
      </c>
      <c r="U65" s="40"/>
      <c r="V65" s="11">
        <f t="shared" si="1"/>
        <v>0</v>
      </c>
    </row>
    <row r="66" spans="1:22" x14ac:dyDescent="0.35">
      <c r="A66" s="49" t="s">
        <v>362</v>
      </c>
      <c r="B66" s="33">
        <v>44047</v>
      </c>
      <c r="C66" s="17">
        <v>210</v>
      </c>
      <c r="D66" s="16" t="s">
        <v>40</v>
      </c>
      <c r="E66" s="35" t="s">
        <v>339</v>
      </c>
      <c r="F66" s="17">
        <f>VLOOKUP(D66,Performance!A:B,2,0)</f>
        <v>28</v>
      </c>
      <c r="G66" s="17">
        <f>VLOOKUP(D66,Performance!A:C,3,0)</f>
        <v>0</v>
      </c>
      <c r="H66" s="17">
        <f>VLOOKUP(D66,Performance!A:D,4,0)</f>
        <v>0</v>
      </c>
      <c r="I66" s="17">
        <f>VLOOKUP(D66,Performance!A:E,5,0)</f>
        <v>0</v>
      </c>
      <c r="J66" s="17">
        <f>VLOOKUP(D66,Performance!A:F,6,0)</f>
        <v>0</v>
      </c>
      <c r="K66" s="17">
        <f>VLOOKUP(D66,Performance!A:G,7,0)</f>
        <v>20</v>
      </c>
      <c r="L66" s="17">
        <f>VLOOKUP(D66,Performance!A:I,9,0)</f>
        <v>12</v>
      </c>
      <c r="M66" s="17">
        <f>VLOOKUP(D66,Performance!A:H,8,0)</f>
        <v>8</v>
      </c>
      <c r="N66" s="17">
        <f>SUM(N61,N65)</f>
        <v>411</v>
      </c>
      <c r="O66" s="17">
        <f>SUM(O61,O65)</f>
        <v>329</v>
      </c>
      <c r="P66" s="18">
        <f>O66/N66</f>
        <v>0.8004866180048662</v>
      </c>
      <c r="Q66" s="19">
        <f>AVERAGE(Q61,Q65)</f>
        <v>9.0367867867867844</v>
      </c>
      <c r="R66" s="19">
        <f t="shared" ref="R66:S66" si="20">AVERAGE(R61,R65)</f>
        <v>0.72929936305732501</v>
      </c>
      <c r="S66" s="19">
        <f t="shared" si="20"/>
        <v>35.259096682743646</v>
      </c>
      <c r="T66" s="17">
        <f t="shared" ref="T66" si="21">SUM(T61,T65)</f>
        <v>330</v>
      </c>
      <c r="U66" s="17"/>
      <c r="V66" s="30"/>
    </row>
    <row r="67" spans="1:22" x14ac:dyDescent="0.35">
      <c r="A67" s="49" t="s">
        <v>362</v>
      </c>
      <c r="B67" s="44" t="s">
        <v>217</v>
      </c>
      <c r="C67" s="45" t="s">
        <v>218</v>
      </c>
      <c r="D67" s="15" t="s">
        <v>132</v>
      </c>
      <c r="E67" s="28" t="s">
        <v>133</v>
      </c>
      <c r="F67" s="45">
        <f>VLOOKUP(D67,Performance!A:B,2,0)</f>
        <v>28</v>
      </c>
      <c r="G67" s="45">
        <f>VLOOKUP(D67,Performance!A:C,3,0)</f>
        <v>0</v>
      </c>
      <c r="H67" s="45">
        <f>VLOOKUP(D67,Performance!A:D,4,0)</f>
        <v>0</v>
      </c>
      <c r="I67" s="45">
        <f>VLOOKUP(D67,Performance!A:E,5,0)</f>
        <v>0</v>
      </c>
      <c r="J67" s="45">
        <f>VLOOKUP(D67,Performance!A:F,6,0)</f>
        <v>0</v>
      </c>
      <c r="K67" s="45">
        <f>VLOOKUP(D67,Performance!A:G,7,0)</f>
        <v>20</v>
      </c>
      <c r="L67" s="45">
        <f>VLOOKUP(D67,Performance!A:I,9,0)</f>
        <v>6</v>
      </c>
      <c r="M67" s="45">
        <f>VLOOKUP(D67,Performance!A:H,8,0)</f>
        <v>14</v>
      </c>
      <c r="N67" s="45">
        <f>SUM(N66,N60,N53,N46,N37,N29,N20,N11)</f>
        <v>4194</v>
      </c>
      <c r="O67" s="45">
        <f>SUM(O66,O60,O53,O46,O37,O29,O20,O11)</f>
        <v>3388</v>
      </c>
      <c r="P67" s="25">
        <f>O67/N67</f>
        <v>0.80782069623271335</v>
      </c>
      <c r="Q67" s="46">
        <f>AVERAGE(Q66,Q60,Q53,Q46,Q37,Q29,Q20,Q11)</f>
        <v>8.0492238110727214</v>
      </c>
      <c r="R67" s="46">
        <f t="shared" ref="R67:S67" si="22">AVERAGE(R66,R60,R53,R46,R37,R29,R20,R11)</f>
        <v>0.47451574741386932</v>
      </c>
      <c r="S67" s="46">
        <f t="shared" si="22"/>
        <v>17.534122486904643</v>
      </c>
      <c r="T67" s="45">
        <f t="shared" ref="T67" si="23">SUM(T66,T60,T53,T46,T37,T29,T20,T11)</f>
        <v>2654</v>
      </c>
      <c r="U67" s="45"/>
      <c r="V67" s="47"/>
    </row>
  </sheetData>
  <mergeCells count="22">
    <mergeCell ref="A1:A2"/>
    <mergeCell ref="J1:J2"/>
    <mergeCell ref="K1:K2"/>
    <mergeCell ref="L1:L2"/>
    <mergeCell ref="M1:M2"/>
    <mergeCell ref="I1:I2"/>
    <mergeCell ref="N1:N2"/>
    <mergeCell ref="B1:B2"/>
    <mergeCell ref="C1:C2"/>
    <mergeCell ref="V1:V2"/>
    <mergeCell ref="Q1:Q2"/>
    <mergeCell ref="R1:R2"/>
    <mergeCell ref="S1:S2"/>
    <mergeCell ref="T1:T2"/>
    <mergeCell ref="U1:U2"/>
    <mergeCell ref="P1:P2"/>
    <mergeCell ref="O1:O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FEA5-CD0B-46E1-BF2F-74E0BA1888C6}">
  <sheetPr filterMode="1"/>
  <dimension ref="A1:P78"/>
  <sheetViews>
    <sheetView zoomScale="80" zoomScaleNormal="80" workbookViewId="0">
      <selection activeCell="B13" sqref="B13"/>
    </sheetView>
  </sheetViews>
  <sheetFormatPr defaultRowHeight="14.5" x14ac:dyDescent="0.35"/>
  <cols>
    <col min="1" max="1" width="44.7265625" bestFit="1" customWidth="1"/>
    <col min="2" max="2" width="13.7265625" bestFit="1" customWidth="1"/>
    <col min="3" max="3" width="8.7265625" bestFit="1" customWidth="1"/>
    <col min="4" max="4" width="10.7265625" bestFit="1" customWidth="1"/>
    <col min="5" max="5" width="13.7265625" bestFit="1" customWidth="1"/>
    <col min="6" max="6" width="8.7265625" bestFit="1" customWidth="1"/>
    <col min="7" max="7" width="19.7265625" bestFit="1" customWidth="1"/>
    <col min="8" max="8" width="20.7265625" bestFit="1" customWidth="1"/>
    <col min="9" max="9" width="14.7265625" bestFit="1" customWidth="1"/>
    <col min="10" max="10" width="13.7265625" bestFit="1" customWidth="1"/>
    <col min="11" max="11" width="18.7265625" bestFit="1" customWidth="1"/>
    <col min="12" max="12" width="27.7265625" bestFit="1" customWidth="1"/>
    <col min="13" max="13" width="42.7265625" bestFit="1" customWidth="1"/>
    <col min="14" max="14" width="19.7265625" bestFit="1" customWidth="1"/>
    <col min="15" max="15" width="22.7265625" bestFit="1" customWidth="1"/>
    <col min="16" max="16" width="13.7265625" bestFit="1" customWidth="1"/>
  </cols>
  <sheetData>
    <row r="1" spans="1:16" x14ac:dyDescent="0.35">
      <c r="A1" s="8" t="s">
        <v>118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119</v>
      </c>
      <c r="G1" s="8" t="s">
        <v>7</v>
      </c>
      <c r="H1" s="8" t="s">
        <v>120</v>
      </c>
      <c r="I1" s="8" t="s">
        <v>225</v>
      </c>
      <c r="J1" s="8" t="s">
        <v>10</v>
      </c>
      <c r="K1" s="8" t="s">
        <v>122</v>
      </c>
      <c r="L1" s="8" t="s">
        <v>12</v>
      </c>
      <c r="M1" s="8" t="s">
        <v>363</v>
      </c>
      <c r="N1" s="8" t="s">
        <v>14</v>
      </c>
      <c r="O1" s="8" t="s">
        <v>15</v>
      </c>
      <c r="P1" s="8" t="s">
        <v>11</v>
      </c>
    </row>
    <row r="2" spans="1:16" hidden="1" x14ac:dyDescent="0.35">
      <c r="A2" t="s">
        <v>223</v>
      </c>
      <c r="B2">
        <v>28</v>
      </c>
      <c r="C2">
        <v>0</v>
      </c>
      <c r="D2">
        <v>1</v>
      </c>
      <c r="E2">
        <v>2</v>
      </c>
      <c r="F2">
        <v>3</v>
      </c>
      <c r="G2">
        <v>17</v>
      </c>
      <c r="H2">
        <v>0</v>
      </c>
      <c r="I2">
        <v>18</v>
      </c>
      <c r="J2">
        <v>173</v>
      </c>
      <c r="K2">
        <v>169</v>
      </c>
      <c r="L2">
        <v>0.97687861271676302</v>
      </c>
      <c r="M2">
        <v>9.9411764705882408</v>
      </c>
      <c r="N2">
        <v>0</v>
      </c>
      <c r="O2">
        <v>3.4624260355029599</v>
      </c>
      <c r="P2">
        <v>169</v>
      </c>
    </row>
    <row r="3" spans="1:16" hidden="1" x14ac:dyDescent="0.35">
      <c r="A3" t="s">
        <v>281</v>
      </c>
      <c r="B3">
        <v>28</v>
      </c>
      <c r="C3">
        <v>0</v>
      </c>
      <c r="D3">
        <v>0</v>
      </c>
      <c r="E3">
        <v>0</v>
      </c>
      <c r="F3">
        <v>0</v>
      </c>
      <c r="G3">
        <v>20</v>
      </c>
      <c r="H3">
        <v>7</v>
      </c>
      <c r="I3">
        <v>13</v>
      </c>
      <c r="J3">
        <v>49</v>
      </c>
      <c r="K3">
        <v>15</v>
      </c>
      <c r="L3">
        <v>0.30612244897959201</v>
      </c>
      <c r="M3">
        <v>1.35</v>
      </c>
      <c r="N3">
        <v>0</v>
      </c>
      <c r="O3">
        <v>8.2759259259259306</v>
      </c>
      <c r="P3">
        <v>27</v>
      </c>
    </row>
    <row r="4" spans="1:16" hidden="1" x14ac:dyDescent="0.35">
      <c r="A4" t="s">
        <v>346</v>
      </c>
      <c r="B4">
        <v>28</v>
      </c>
      <c r="C4">
        <v>0</v>
      </c>
      <c r="D4">
        <v>0</v>
      </c>
      <c r="E4">
        <v>0</v>
      </c>
      <c r="F4">
        <v>0</v>
      </c>
      <c r="G4">
        <v>20</v>
      </c>
      <c r="H4">
        <v>18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hidden="1" x14ac:dyDescent="0.35">
      <c r="A5" t="s">
        <v>65</v>
      </c>
      <c r="B5">
        <v>28</v>
      </c>
      <c r="C5">
        <v>0</v>
      </c>
      <c r="D5">
        <v>0</v>
      </c>
      <c r="E5">
        <v>0</v>
      </c>
      <c r="F5">
        <v>0</v>
      </c>
      <c r="G5">
        <v>20</v>
      </c>
      <c r="H5">
        <v>2</v>
      </c>
      <c r="I5">
        <v>18</v>
      </c>
      <c r="J5">
        <v>184</v>
      </c>
      <c r="K5">
        <v>157</v>
      </c>
      <c r="L5">
        <v>0.85326086956521696</v>
      </c>
      <c r="M5">
        <v>7.9</v>
      </c>
      <c r="N5">
        <v>0</v>
      </c>
      <c r="O5">
        <v>15.1150843881857</v>
      </c>
      <c r="P5">
        <v>158</v>
      </c>
    </row>
    <row r="6" spans="1:16" x14ac:dyDescent="0.35">
      <c r="A6" t="s">
        <v>113</v>
      </c>
      <c r="B6">
        <v>28</v>
      </c>
      <c r="C6">
        <v>0</v>
      </c>
      <c r="D6">
        <v>0</v>
      </c>
      <c r="E6">
        <v>2</v>
      </c>
      <c r="F6">
        <v>2</v>
      </c>
      <c r="G6">
        <v>18</v>
      </c>
      <c r="H6">
        <v>1</v>
      </c>
      <c r="I6">
        <v>17</v>
      </c>
      <c r="J6">
        <v>210</v>
      </c>
      <c r="K6">
        <v>157</v>
      </c>
      <c r="L6">
        <v>0.74761904761904796</v>
      </c>
      <c r="M6">
        <v>8.7222222222222197</v>
      </c>
      <c r="N6">
        <v>1.45859872611465</v>
      </c>
      <c r="O6">
        <v>20.741507430997899</v>
      </c>
      <c r="P6">
        <v>157</v>
      </c>
    </row>
    <row r="7" spans="1:16" hidden="1" x14ac:dyDescent="0.35">
      <c r="A7" t="s">
        <v>359</v>
      </c>
      <c r="B7">
        <v>28</v>
      </c>
      <c r="C7">
        <v>0</v>
      </c>
      <c r="D7">
        <v>0</v>
      </c>
      <c r="E7">
        <v>0</v>
      </c>
      <c r="F7">
        <v>0</v>
      </c>
      <c r="G7">
        <v>20</v>
      </c>
      <c r="H7">
        <v>19</v>
      </c>
      <c r="I7">
        <v>1</v>
      </c>
      <c r="J7">
        <v>168</v>
      </c>
      <c r="K7">
        <v>5</v>
      </c>
      <c r="L7">
        <v>2.9761904761904798E-2</v>
      </c>
      <c r="M7">
        <v>0.3</v>
      </c>
      <c r="N7">
        <v>0.33333333333333298</v>
      </c>
      <c r="O7">
        <v>3.6527777777777799</v>
      </c>
      <c r="P7">
        <v>6</v>
      </c>
    </row>
    <row r="8" spans="1:16" hidden="1" x14ac:dyDescent="0.35">
      <c r="A8" t="s">
        <v>288</v>
      </c>
      <c r="B8">
        <v>28</v>
      </c>
      <c r="C8">
        <v>0</v>
      </c>
      <c r="D8">
        <v>0</v>
      </c>
      <c r="E8">
        <v>0</v>
      </c>
      <c r="F8">
        <v>0</v>
      </c>
      <c r="G8">
        <v>20</v>
      </c>
      <c r="H8">
        <v>6</v>
      </c>
      <c r="I8">
        <v>14</v>
      </c>
      <c r="J8">
        <v>187</v>
      </c>
      <c r="K8">
        <v>110</v>
      </c>
      <c r="L8">
        <v>0.58823529411764697</v>
      </c>
      <c r="M8">
        <v>6.55</v>
      </c>
      <c r="N8">
        <v>1.9160305343511499</v>
      </c>
      <c r="O8">
        <v>5.3447837150127198</v>
      </c>
      <c r="P8">
        <v>131</v>
      </c>
    </row>
    <row r="9" spans="1:16" hidden="1" x14ac:dyDescent="0.35">
      <c r="A9" t="s">
        <v>274</v>
      </c>
      <c r="B9">
        <v>28</v>
      </c>
      <c r="C9">
        <v>0</v>
      </c>
      <c r="D9">
        <v>0</v>
      </c>
      <c r="E9">
        <v>1</v>
      </c>
      <c r="F9">
        <v>1</v>
      </c>
      <c r="G9">
        <v>19</v>
      </c>
      <c r="H9">
        <v>2</v>
      </c>
      <c r="I9">
        <v>17</v>
      </c>
      <c r="J9">
        <v>253</v>
      </c>
      <c r="K9">
        <v>131</v>
      </c>
      <c r="L9">
        <v>0.51778656126482203</v>
      </c>
      <c r="M9">
        <v>6.8947368421052602</v>
      </c>
      <c r="N9">
        <v>0</v>
      </c>
      <c r="O9">
        <v>16.027099236641199</v>
      </c>
      <c r="P9">
        <v>131</v>
      </c>
    </row>
    <row r="10" spans="1:16" hidden="1" x14ac:dyDescent="0.35">
      <c r="A10" t="s">
        <v>347</v>
      </c>
      <c r="B10">
        <v>28</v>
      </c>
      <c r="C10">
        <v>0</v>
      </c>
      <c r="D10">
        <v>0</v>
      </c>
      <c r="E10">
        <v>1</v>
      </c>
      <c r="F10">
        <v>1</v>
      </c>
      <c r="G10">
        <v>19</v>
      </c>
      <c r="H10">
        <v>19</v>
      </c>
      <c r="I10">
        <v>0</v>
      </c>
      <c r="J10">
        <v>220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hidden="1" x14ac:dyDescent="0.35">
      <c r="A11" t="s">
        <v>226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hidden="1" x14ac:dyDescent="0.35">
      <c r="A12" t="s">
        <v>345</v>
      </c>
      <c r="B12">
        <v>28</v>
      </c>
      <c r="C12">
        <v>0</v>
      </c>
      <c r="D12">
        <v>0</v>
      </c>
      <c r="E12">
        <v>1.5</v>
      </c>
      <c r="F12">
        <v>1.5</v>
      </c>
      <c r="G12">
        <v>18.5</v>
      </c>
      <c r="H12">
        <v>2.5</v>
      </c>
      <c r="I12">
        <v>16</v>
      </c>
      <c r="J12">
        <v>201</v>
      </c>
      <c r="K12">
        <v>122</v>
      </c>
      <c r="L12">
        <v>0.60696517412935302</v>
      </c>
      <c r="M12">
        <v>6.5945945945945903</v>
      </c>
      <c r="N12">
        <v>1.63934426229508E-2</v>
      </c>
      <c r="O12">
        <v>9.6163934426229503</v>
      </c>
      <c r="P12">
        <v>122</v>
      </c>
    </row>
    <row r="13" spans="1:16" hidden="1" x14ac:dyDescent="0.35">
      <c r="A13" t="s">
        <v>292</v>
      </c>
      <c r="B13">
        <v>28</v>
      </c>
      <c r="C13">
        <v>0</v>
      </c>
      <c r="D13">
        <v>0</v>
      </c>
      <c r="E13">
        <v>0</v>
      </c>
      <c r="F13">
        <v>0</v>
      </c>
      <c r="G13">
        <v>20</v>
      </c>
      <c r="H13">
        <v>2</v>
      </c>
      <c r="I13">
        <v>18</v>
      </c>
      <c r="J13">
        <v>156</v>
      </c>
      <c r="K13">
        <v>169</v>
      </c>
      <c r="L13">
        <v>1.0833333333333299</v>
      </c>
      <c r="M13">
        <v>8.4499999999999993</v>
      </c>
      <c r="N13">
        <v>1.7692307692307701</v>
      </c>
      <c r="O13">
        <v>5.2704142011834296</v>
      </c>
      <c r="P13">
        <v>169</v>
      </c>
    </row>
    <row r="14" spans="1:16" hidden="1" x14ac:dyDescent="0.35">
      <c r="A14" t="s">
        <v>246</v>
      </c>
      <c r="B14">
        <v>28</v>
      </c>
      <c r="C14">
        <v>0</v>
      </c>
      <c r="D14">
        <v>0</v>
      </c>
      <c r="E14">
        <v>1</v>
      </c>
      <c r="F14">
        <v>1</v>
      </c>
      <c r="G14">
        <v>19</v>
      </c>
      <c r="H14">
        <v>2</v>
      </c>
      <c r="I14">
        <v>17</v>
      </c>
      <c r="J14">
        <v>182</v>
      </c>
      <c r="K14">
        <v>144</v>
      </c>
      <c r="L14">
        <v>0.79120879120879095</v>
      </c>
      <c r="M14">
        <v>7.5789473684210504</v>
      </c>
      <c r="N14">
        <v>0</v>
      </c>
      <c r="O14">
        <v>25.447106481481502</v>
      </c>
      <c r="P14">
        <v>144</v>
      </c>
    </row>
    <row r="15" spans="1:16" hidden="1" x14ac:dyDescent="0.35">
      <c r="A15" t="s">
        <v>111</v>
      </c>
      <c r="B15">
        <v>28</v>
      </c>
      <c r="C15">
        <v>0</v>
      </c>
      <c r="D15">
        <v>0</v>
      </c>
      <c r="E15">
        <v>0.5</v>
      </c>
      <c r="F15">
        <v>0.5</v>
      </c>
      <c r="G15">
        <v>19.5</v>
      </c>
      <c r="H15">
        <v>0</v>
      </c>
      <c r="I15">
        <v>20</v>
      </c>
      <c r="J15">
        <v>204</v>
      </c>
      <c r="K15">
        <v>172</v>
      </c>
      <c r="L15">
        <v>0.84313725490196101</v>
      </c>
      <c r="M15">
        <v>8.8205128205128194</v>
      </c>
      <c r="N15">
        <v>5.8139534883720903E-3</v>
      </c>
      <c r="O15">
        <v>32.028391472868201</v>
      </c>
      <c r="P15">
        <v>172</v>
      </c>
    </row>
    <row r="16" spans="1:16" hidden="1" x14ac:dyDescent="0.35">
      <c r="A16" t="s">
        <v>312</v>
      </c>
      <c r="B16">
        <v>28</v>
      </c>
      <c r="C16">
        <v>0</v>
      </c>
      <c r="D16">
        <v>1</v>
      </c>
      <c r="E16">
        <v>1.5</v>
      </c>
      <c r="F16">
        <v>2.5</v>
      </c>
      <c r="G16">
        <v>17.5</v>
      </c>
      <c r="H16">
        <v>0</v>
      </c>
      <c r="I16">
        <v>18</v>
      </c>
      <c r="J16">
        <v>161</v>
      </c>
      <c r="K16">
        <v>161</v>
      </c>
      <c r="L16">
        <v>1</v>
      </c>
      <c r="M16">
        <v>9.3142857142857096</v>
      </c>
      <c r="N16">
        <v>0.97546012269938698</v>
      </c>
      <c r="O16">
        <v>10.4944785276074</v>
      </c>
      <c r="P16">
        <v>163</v>
      </c>
    </row>
    <row r="17" spans="1:16" hidden="1" x14ac:dyDescent="0.35">
      <c r="A17" t="s">
        <v>348</v>
      </c>
      <c r="B17">
        <v>28</v>
      </c>
      <c r="C17">
        <v>0</v>
      </c>
      <c r="D17">
        <v>1</v>
      </c>
      <c r="E17">
        <v>1</v>
      </c>
      <c r="F17">
        <v>2</v>
      </c>
      <c r="G17">
        <v>18</v>
      </c>
      <c r="H17">
        <v>3</v>
      </c>
      <c r="I17">
        <v>15</v>
      </c>
      <c r="J17">
        <v>189</v>
      </c>
      <c r="K17">
        <v>127</v>
      </c>
      <c r="L17">
        <v>0.67195767195767198</v>
      </c>
      <c r="M17">
        <v>7.0555555555555598</v>
      </c>
      <c r="N17">
        <v>1.5748031496062999E-2</v>
      </c>
      <c r="O17">
        <v>15.453018372703401</v>
      </c>
      <c r="P17">
        <v>127</v>
      </c>
    </row>
    <row r="18" spans="1:16" hidden="1" x14ac:dyDescent="0.35">
      <c r="A18" t="s">
        <v>364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hidden="1" x14ac:dyDescent="0.35">
      <c r="A19" t="s">
        <v>262</v>
      </c>
      <c r="B19">
        <v>28</v>
      </c>
      <c r="C19">
        <v>0</v>
      </c>
      <c r="D19">
        <v>3</v>
      </c>
      <c r="E19">
        <v>1</v>
      </c>
      <c r="F19">
        <v>4</v>
      </c>
      <c r="G19">
        <v>16</v>
      </c>
      <c r="H19">
        <v>0</v>
      </c>
      <c r="I19">
        <v>16</v>
      </c>
      <c r="J19">
        <v>197</v>
      </c>
      <c r="K19">
        <v>123</v>
      </c>
      <c r="L19">
        <v>0.62436548223350297</v>
      </c>
      <c r="M19">
        <v>8.375</v>
      </c>
      <c r="N19">
        <v>0</v>
      </c>
      <c r="O19">
        <v>3.6572139303482598</v>
      </c>
      <c r="P19">
        <v>134</v>
      </c>
    </row>
    <row r="20" spans="1:16" hidden="1" x14ac:dyDescent="0.35">
      <c r="A20" t="s">
        <v>349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hidden="1" x14ac:dyDescent="0.35">
      <c r="A21" t="s">
        <v>350</v>
      </c>
      <c r="B21">
        <v>28</v>
      </c>
      <c r="C21">
        <v>0</v>
      </c>
      <c r="D21">
        <v>0</v>
      </c>
      <c r="E21">
        <v>0</v>
      </c>
      <c r="F21">
        <v>0</v>
      </c>
      <c r="G21">
        <v>20</v>
      </c>
      <c r="H21">
        <v>13</v>
      </c>
      <c r="I21">
        <v>7</v>
      </c>
      <c r="J21">
        <v>137</v>
      </c>
      <c r="K21">
        <v>35</v>
      </c>
      <c r="L21">
        <v>0.25547445255474499</v>
      </c>
      <c r="M21">
        <v>2</v>
      </c>
      <c r="N21">
        <v>0.5</v>
      </c>
      <c r="O21">
        <v>8.8504166666666695</v>
      </c>
      <c r="P21">
        <v>40</v>
      </c>
    </row>
    <row r="22" spans="1:16" hidden="1" x14ac:dyDescent="0.35">
      <c r="A22" t="s">
        <v>243</v>
      </c>
      <c r="B22">
        <v>28</v>
      </c>
      <c r="C22">
        <v>0</v>
      </c>
      <c r="D22">
        <v>2</v>
      </c>
      <c r="E22">
        <v>1.5</v>
      </c>
      <c r="F22">
        <v>3.5</v>
      </c>
      <c r="G22">
        <v>16.5</v>
      </c>
      <c r="H22">
        <v>0</v>
      </c>
      <c r="I22">
        <v>17</v>
      </c>
      <c r="J22">
        <v>129</v>
      </c>
      <c r="K22">
        <v>122</v>
      </c>
      <c r="L22">
        <v>0.94573643410852704</v>
      </c>
      <c r="M22">
        <v>7.39393939393939</v>
      </c>
      <c r="N22">
        <v>0</v>
      </c>
      <c r="O22">
        <v>24.521174863388001</v>
      </c>
      <c r="P22">
        <v>122</v>
      </c>
    </row>
    <row r="23" spans="1:16" hidden="1" x14ac:dyDescent="0.35">
      <c r="A23" t="s">
        <v>219</v>
      </c>
      <c r="B23">
        <v>28</v>
      </c>
      <c r="C23">
        <v>0</v>
      </c>
      <c r="D23">
        <v>0</v>
      </c>
      <c r="E23">
        <v>0</v>
      </c>
      <c r="F23">
        <v>0</v>
      </c>
      <c r="G23">
        <v>20</v>
      </c>
      <c r="H23">
        <v>6</v>
      </c>
      <c r="I23">
        <v>14</v>
      </c>
      <c r="J23">
        <v>69</v>
      </c>
      <c r="K23">
        <v>20</v>
      </c>
      <c r="L23">
        <v>0.28985507246376802</v>
      </c>
      <c r="M23">
        <v>1.05</v>
      </c>
      <c r="N23">
        <v>0</v>
      </c>
      <c r="O23">
        <v>2.5373015873015898</v>
      </c>
      <c r="P23">
        <v>21</v>
      </c>
    </row>
    <row r="24" spans="1:16" hidden="1" x14ac:dyDescent="0.35">
      <c r="A24" t="s">
        <v>351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hidden="1" x14ac:dyDescent="0.35">
      <c r="A25" t="s">
        <v>330</v>
      </c>
      <c r="B25">
        <v>28</v>
      </c>
      <c r="C25">
        <v>0</v>
      </c>
      <c r="D25">
        <v>1</v>
      </c>
      <c r="E25">
        <v>1.5</v>
      </c>
      <c r="F25">
        <v>2.5</v>
      </c>
      <c r="G25">
        <v>17.5</v>
      </c>
      <c r="H25">
        <v>0</v>
      </c>
      <c r="I25">
        <v>18</v>
      </c>
      <c r="J25">
        <v>213</v>
      </c>
      <c r="K25">
        <v>164</v>
      </c>
      <c r="L25">
        <v>0.76995305164319205</v>
      </c>
      <c r="M25">
        <v>9.3714285714285701</v>
      </c>
      <c r="N25">
        <v>1.93292682926829</v>
      </c>
      <c r="O25">
        <v>5.33821138211382</v>
      </c>
      <c r="P25">
        <v>164</v>
      </c>
    </row>
    <row r="26" spans="1:16" hidden="1" x14ac:dyDescent="0.35">
      <c r="A26" t="s">
        <v>34</v>
      </c>
      <c r="B26">
        <v>28</v>
      </c>
      <c r="C26">
        <v>0</v>
      </c>
      <c r="D26">
        <v>0</v>
      </c>
      <c r="E26">
        <v>0</v>
      </c>
      <c r="F26">
        <v>0</v>
      </c>
      <c r="G26">
        <v>20</v>
      </c>
      <c r="H26">
        <v>7</v>
      </c>
      <c r="I26">
        <v>13</v>
      </c>
      <c r="J26">
        <v>52</v>
      </c>
      <c r="K26">
        <v>35</v>
      </c>
      <c r="L26">
        <v>0.67307692307692302</v>
      </c>
      <c r="M26">
        <v>1.75</v>
      </c>
      <c r="N26">
        <v>0</v>
      </c>
      <c r="O26">
        <v>29.735238095238099</v>
      </c>
      <c r="P26">
        <v>35</v>
      </c>
    </row>
    <row r="27" spans="1:16" hidden="1" x14ac:dyDescent="0.35">
      <c r="A27" t="s">
        <v>241</v>
      </c>
      <c r="B27">
        <v>28</v>
      </c>
      <c r="C27">
        <v>0</v>
      </c>
      <c r="D27">
        <v>0</v>
      </c>
      <c r="E27">
        <v>1.5</v>
      </c>
      <c r="F27">
        <v>1.5</v>
      </c>
      <c r="G27">
        <v>18.5</v>
      </c>
      <c r="H27">
        <v>1.5</v>
      </c>
      <c r="I27">
        <v>17</v>
      </c>
      <c r="J27">
        <v>201</v>
      </c>
      <c r="K27">
        <v>172</v>
      </c>
      <c r="L27">
        <v>0.85572139303482597</v>
      </c>
      <c r="M27">
        <v>9.3513513513513509</v>
      </c>
      <c r="N27">
        <v>0</v>
      </c>
      <c r="O27">
        <v>49.7766859344894</v>
      </c>
      <c r="P27">
        <v>173</v>
      </c>
    </row>
    <row r="28" spans="1:16" hidden="1" x14ac:dyDescent="0.35">
      <c r="A28" t="s">
        <v>48</v>
      </c>
      <c r="B28">
        <v>28</v>
      </c>
      <c r="C28">
        <v>0</v>
      </c>
      <c r="D28">
        <v>2</v>
      </c>
      <c r="E28">
        <v>1</v>
      </c>
      <c r="F28">
        <v>3</v>
      </c>
      <c r="G28">
        <v>17</v>
      </c>
      <c r="H28">
        <v>0</v>
      </c>
      <c r="I28">
        <v>17</v>
      </c>
      <c r="J28">
        <v>177</v>
      </c>
      <c r="K28">
        <v>151</v>
      </c>
      <c r="L28">
        <v>0.85310734463276805</v>
      </c>
      <c r="M28">
        <v>9.0588235294117592</v>
      </c>
      <c r="N28">
        <v>0</v>
      </c>
      <c r="O28">
        <v>13.1997835497836</v>
      </c>
      <c r="P28">
        <v>154</v>
      </c>
    </row>
    <row r="29" spans="1:16" hidden="1" x14ac:dyDescent="0.35">
      <c r="A29" t="s">
        <v>23</v>
      </c>
      <c r="B29">
        <v>28</v>
      </c>
      <c r="C29">
        <v>0</v>
      </c>
      <c r="D29">
        <v>2</v>
      </c>
      <c r="E29">
        <v>0</v>
      </c>
      <c r="F29">
        <v>2</v>
      </c>
      <c r="G29">
        <v>18</v>
      </c>
      <c r="H29">
        <v>1</v>
      </c>
      <c r="I29">
        <v>17</v>
      </c>
      <c r="J29">
        <v>151</v>
      </c>
      <c r="K29">
        <v>126</v>
      </c>
      <c r="L29">
        <v>0.83443708609271505</v>
      </c>
      <c r="M29">
        <v>7.2777777777777803</v>
      </c>
      <c r="N29">
        <v>1.9312977099236599</v>
      </c>
      <c r="O29">
        <v>13.690076335877899</v>
      </c>
      <c r="P29">
        <v>131</v>
      </c>
    </row>
    <row r="30" spans="1:16" hidden="1" x14ac:dyDescent="0.35">
      <c r="A30" t="s">
        <v>279</v>
      </c>
      <c r="B30">
        <v>28</v>
      </c>
      <c r="C30">
        <v>0</v>
      </c>
      <c r="D30">
        <v>0</v>
      </c>
      <c r="E30">
        <v>1</v>
      </c>
      <c r="F30">
        <v>1</v>
      </c>
      <c r="G30">
        <v>19</v>
      </c>
      <c r="H30">
        <v>3</v>
      </c>
      <c r="I30">
        <v>16</v>
      </c>
      <c r="J30">
        <v>197</v>
      </c>
      <c r="K30">
        <v>163</v>
      </c>
      <c r="L30">
        <v>0.82741116751268995</v>
      </c>
      <c r="M30">
        <v>8.6315789473684195</v>
      </c>
      <c r="N30">
        <v>0.32317073170731703</v>
      </c>
      <c r="O30">
        <v>7.3282520325203304</v>
      </c>
      <c r="P30">
        <v>164</v>
      </c>
    </row>
    <row r="31" spans="1:16" hidden="1" x14ac:dyDescent="0.35">
      <c r="A31" t="s">
        <v>132</v>
      </c>
      <c r="B31">
        <v>28</v>
      </c>
      <c r="C31">
        <v>0</v>
      </c>
      <c r="D31">
        <v>0</v>
      </c>
      <c r="E31">
        <v>0</v>
      </c>
      <c r="F31">
        <v>0</v>
      </c>
      <c r="G31">
        <v>20</v>
      </c>
      <c r="H31">
        <v>14</v>
      </c>
      <c r="I31">
        <v>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hidden="1" x14ac:dyDescent="0.35">
      <c r="A32" t="s">
        <v>228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hidden="1" x14ac:dyDescent="0.35">
      <c r="A33" t="s">
        <v>280</v>
      </c>
      <c r="B33">
        <v>28</v>
      </c>
      <c r="C33">
        <v>0</v>
      </c>
      <c r="D33">
        <v>0</v>
      </c>
      <c r="E33">
        <v>0.5</v>
      </c>
      <c r="F33">
        <v>0.5</v>
      </c>
      <c r="G33">
        <v>19.5</v>
      </c>
      <c r="H33">
        <v>5.5</v>
      </c>
      <c r="I33">
        <v>14</v>
      </c>
      <c r="J33">
        <v>194</v>
      </c>
      <c r="K33">
        <v>146</v>
      </c>
      <c r="L33">
        <v>0.75257731958762897</v>
      </c>
      <c r="M33">
        <v>7.5384615384615401</v>
      </c>
      <c r="N33">
        <v>0.97278911564625803</v>
      </c>
      <c r="O33">
        <v>4.8744897959183699</v>
      </c>
      <c r="P33">
        <v>147</v>
      </c>
    </row>
    <row r="34" spans="1:16" hidden="1" x14ac:dyDescent="0.35">
      <c r="A34" t="s">
        <v>121</v>
      </c>
      <c r="B34">
        <v>28</v>
      </c>
      <c r="C34">
        <v>0</v>
      </c>
      <c r="D34">
        <v>3</v>
      </c>
      <c r="E34">
        <v>1.5</v>
      </c>
      <c r="F34">
        <v>4.5</v>
      </c>
      <c r="G34">
        <v>15.5</v>
      </c>
      <c r="H34">
        <v>0</v>
      </c>
      <c r="I34">
        <v>16</v>
      </c>
      <c r="J34">
        <v>176</v>
      </c>
      <c r="K34">
        <v>155</v>
      </c>
      <c r="L34">
        <v>0.88068181818181801</v>
      </c>
      <c r="M34">
        <v>10.3870967741935</v>
      </c>
      <c r="N34">
        <v>1.2422360248447201E-2</v>
      </c>
      <c r="O34">
        <v>18.500724637681198</v>
      </c>
      <c r="P34">
        <v>161</v>
      </c>
    </row>
    <row r="35" spans="1:16" hidden="1" x14ac:dyDescent="0.35">
      <c r="A35" t="s">
        <v>238</v>
      </c>
      <c r="B35">
        <v>28</v>
      </c>
      <c r="C35">
        <v>0</v>
      </c>
      <c r="D35">
        <v>1</v>
      </c>
      <c r="E35">
        <v>2.5</v>
      </c>
      <c r="F35">
        <v>3.5</v>
      </c>
      <c r="G35">
        <v>16.5</v>
      </c>
      <c r="H35">
        <v>0</v>
      </c>
      <c r="I35">
        <v>18</v>
      </c>
      <c r="J35">
        <v>192</v>
      </c>
      <c r="K35">
        <v>169</v>
      </c>
      <c r="L35">
        <v>0.88020833333333304</v>
      </c>
      <c r="M35">
        <v>10.2424242424242</v>
      </c>
      <c r="N35">
        <v>1.0118343195266299</v>
      </c>
      <c r="O35">
        <v>19.618145956607499</v>
      </c>
      <c r="P35">
        <v>169</v>
      </c>
    </row>
    <row r="36" spans="1:16" hidden="1" x14ac:dyDescent="0.35">
      <c r="A36" t="s">
        <v>125</v>
      </c>
      <c r="B36">
        <v>28</v>
      </c>
      <c r="C36">
        <v>0</v>
      </c>
      <c r="D36">
        <v>0</v>
      </c>
      <c r="E36">
        <v>0</v>
      </c>
      <c r="F36">
        <v>0</v>
      </c>
      <c r="G36">
        <v>20</v>
      </c>
      <c r="H36">
        <v>3</v>
      </c>
      <c r="I36">
        <v>17</v>
      </c>
      <c r="J36">
        <v>216</v>
      </c>
      <c r="K36">
        <v>163</v>
      </c>
      <c r="L36">
        <v>0.75462962962962998</v>
      </c>
      <c r="M36">
        <v>8.15</v>
      </c>
      <c r="N36">
        <v>1.49693251533742</v>
      </c>
      <c r="O36">
        <v>20.248466257668699</v>
      </c>
      <c r="P36">
        <v>163</v>
      </c>
    </row>
    <row r="37" spans="1:16" hidden="1" x14ac:dyDescent="0.35">
      <c r="A37" t="s">
        <v>303</v>
      </c>
      <c r="B37">
        <v>28</v>
      </c>
      <c r="C37">
        <v>0</v>
      </c>
      <c r="D37">
        <v>2</v>
      </c>
      <c r="E37">
        <v>1</v>
      </c>
      <c r="F37">
        <v>3</v>
      </c>
      <c r="G37">
        <v>17</v>
      </c>
      <c r="H37">
        <v>0</v>
      </c>
      <c r="I37">
        <v>17</v>
      </c>
      <c r="J37">
        <v>213</v>
      </c>
      <c r="K37">
        <v>132</v>
      </c>
      <c r="L37">
        <v>0.61971830985915499</v>
      </c>
      <c r="M37">
        <v>8.1764705882352899</v>
      </c>
      <c r="N37">
        <v>1.02158273381295</v>
      </c>
      <c r="O37">
        <v>7.2068345323741001</v>
      </c>
      <c r="P37">
        <v>139</v>
      </c>
    </row>
    <row r="38" spans="1:16" hidden="1" x14ac:dyDescent="0.35">
      <c r="A38" t="s">
        <v>124</v>
      </c>
      <c r="B38">
        <v>28</v>
      </c>
      <c r="C38">
        <v>0</v>
      </c>
      <c r="D38">
        <v>2</v>
      </c>
      <c r="E38">
        <v>2</v>
      </c>
      <c r="F38">
        <v>4</v>
      </c>
      <c r="G38">
        <v>16</v>
      </c>
      <c r="H38">
        <v>0</v>
      </c>
      <c r="I38">
        <v>17</v>
      </c>
      <c r="J38">
        <v>191</v>
      </c>
      <c r="K38">
        <v>154</v>
      </c>
      <c r="L38">
        <v>0.80628272251308897</v>
      </c>
      <c r="M38">
        <v>9.625</v>
      </c>
      <c r="N38">
        <v>0</v>
      </c>
      <c r="O38">
        <v>7.35606060606061</v>
      </c>
      <c r="P38">
        <v>154</v>
      </c>
    </row>
    <row r="39" spans="1:16" hidden="1" x14ac:dyDescent="0.35">
      <c r="A39" t="s">
        <v>365</v>
      </c>
      <c r="B39">
        <v>28</v>
      </c>
      <c r="C39">
        <v>0</v>
      </c>
      <c r="D39">
        <v>0</v>
      </c>
      <c r="E39">
        <v>0</v>
      </c>
      <c r="F39">
        <v>0</v>
      </c>
      <c r="G39">
        <v>20</v>
      </c>
      <c r="H39">
        <v>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hidden="1" x14ac:dyDescent="0.35">
      <c r="A40" t="s">
        <v>36</v>
      </c>
      <c r="B40">
        <v>28</v>
      </c>
      <c r="C40">
        <v>0</v>
      </c>
      <c r="D40">
        <v>2</v>
      </c>
      <c r="E40">
        <v>2.5</v>
      </c>
      <c r="F40">
        <v>4.5</v>
      </c>
      <c r="G40">
        <v>15.5</v>
      </c>
      <c r="H40">
        <v>0</v>
      </c>
      <c r="I40">
        <v>17</v>
      </c>
      <c r="J40">
        <v>172</v>
      </c>
      <c r="K40">
        <v>170</v>
      </c>
      <c r="L40">
        <v>0.98837209302325602</v>
      </c>
      <c r="M40">
        <v>10.9677419354839</v>
      </c>
      <c r="N40">
        <v>1.9294117647058799</v>
      </c>
      <c r="O40">
        <v>22.1271568627451</v>
      </c>
      <c r="P40">
        <v>170</v>
      </c>
    </row>
    <row r="41" spans="1:16" hidden="1" x14ac:dyDescent="0.35">
      <c r="A41" t="s">
        <v>91</v>
      </c>
      <c r="B41">
        <v>28</v>
      </c>
      <c r="C41">
        <v>0</v>
      </c>
      <c r="D41">
        <v>2</v>
      </c>
      <c r="E41">
        <v>3.5</v>
      </c>
      <c r="F41">
        <v>5.5</v>
      </c>
      <c r="G41">
        <v>14.5</v>
      </c>
      <c r="H41">
        <v>0.5</v>
      </c>
      <c r="I41">
        <v>14</v>
      </c>
      <c r="J41">
        <v>135</v>
      </c>
      <c r="K41">
        <v>129</v>
      </c>
      <c r="L41">
        <v>0.95555555555555605</v>
      </c>
      <c r="M41">
        <v>8.8965517241379306</v>
      </c>
      <c r="N41">
        <v>0</v>
      </c>
      <c r="O41">
        <v>37.735529715762297</v>
      </c>
      <c r="P41">
        <v>129</v>
      </c>
    </row>
    <row r="42" spans="1:16" hidden="1" x14ac:dyDescent="0.35">
      <c r="A42" t="s">
        <v>26</v>
      </c>
      <c r="B42">
        <v>28</v>
      </c>
      <c r="C42">
        <v>0</v>
      </c>
      <c r="D42">
        <v>0</v>
      </c>
      <c r="E42">
        <v>0</v>
      </c>
      <c r="F42">
        <v>0</v>
      </c>
      <c r="G42">
        <v>20</v>
      </c>
      <c r="H42">
        <v>3</v>
      </c>
      <c r="I42">
        <v>17</v>
      </c>
      <c r="J42">
        <v>232</v>
      </c>
      <c r="K42">
        <v>163</v>
      </c>
      <c r="L42">
        <v>0.70258620689655205</v>
      </c>
      <c r="M42">
        <v>8.15</v>
      </c>
      <c r="N42">
        <v>0</v>
      </c>
      <c r="O42">
        <v>28.1849693251534</v>
      </c>
      <c r="P42">
        <v>163</v>
      </c>
    </row>
    <row r="43" spans="1:16" hidden="1" x14ac:dyDescent="0.35">
      <c r="A43" t="s">
        <v>352</v>
      </c>
      <c r="B43">
        <v>28</v>
      </c>
      <c r="C43">
        <v>0</v>
      </c>
      <c r="D43">
        <v>0</v>
      </c>
      <c r="E43">
        <v>0</v>
      </c>
      <c r="F43">
        <v>0</v>
      </c>
      <c r="G43">
        <v>20</v>
      </c>
      <c r="H43">
        <v>19</v>
      </c>
      <c r="I43">
        <v>1</v>
      </c>
      <c r="J43">
        <v>111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hidden="1" x14ac:dyDescent="0.35">
      <c r="A44" t="s">
        <v>360</v>
      </c>
      <c r="B44">
        <v>28</v>
      </c>
      <c r="C44">
        <v>0</v>
      </c>
      <c r="D44">
        <v>0</v>
      </c>
      <c r="E44">
        <v>0</v>
      </c>
      <c r="F44">
        <v>0</v>
      </c>
      <c r="G44">
        <v>20</v>
      </c>
      <c r="H44">
        <v>15</v>
      </c>
      <c r="I44">
        <v>5</v>
      </c>
      <c r="J44">
        <v>194</v>
      </c>
      <c r="K44">
        <v>34</v>
      </c>
      <c r="L44">
        <v>0.17525773195876301</v>
      </c>
      <c r="M44">
        <v>1.75</v>
      </c>
      <c r="N44">
        <v>0</v>
      </c>
      <c r="O44">
        <v>5.4361904761904798</v>
      </c>
      <c r="P44">
        <v>35</v>
      </c>
    </row>
    <row r="45" spans="1:16" hidden="1" x14ac:dyDescent="0.35">
      <c r="A45" t="s">
        <v>305</v>
      </c>
      <c r="B45">
        <v>28</v>
      </c>
      <c r="C45">
        <v>0</v>
      </c>
      <c r="D45">
        <v>1</v>
      </c>
      <c r="E45">
        <v>1</v>
      </c>
      <c r="F45">
        <v>2</v>
      </c>
      <c r="G45">
        <v>18</v>
      </c>
      <c r="H45">
        <v>0</v>
      </c>
      <c r="I45">
        <v>18</v>
      </c>
      <c r="J45">
        <v>198</v>
      </c>
      <c r="K45">
        <v>92</v>
      </c>
      <c r="L45">
        <v>0.46464646464646497</v>
      </c>
      <c r="M45">
        <v>7.8333333333333304</v>
      </c>
      <c r="N45">
        <v>0</v>
      </c>
      <c r="O45">
        <v>5.1261229314420804</v>
      </c>
      <c r="P45">
        <v>141</v>
      </c>
    </row>
    <row r="46" spans="1:16" hidden="1" x14ac:dyDescent="0.35">
      <c r="A46" t="s">
        <v>316</v>
      </c>
      <c r="B46">
        <v>28</v>
      </c>
      <c r="C46">
        <v>0</v>
      </c>
      <c r="D46">
        <v>0</v>
      </c>
      <c r="E46">
        <v>2.5</v>
      </c>
      <c r="F46">
        <v>2.5</v>
      </c>
      <c r="G46">
        <v>17.5</v>
      </c>
      <c r="H46">
        <v>0</v>
      </c>
      <c r="I46">
        <v>18</v>
      </c>
      <c r="J46">
        <v>149</v>
      </c>
      <c r="K46">
        <v>144</v>
      </c>
      <c r="L46">
        <v>0.96644295302013405</v>
      </c>
      <c r="M46">
        <v>8.8571428571428594</v>
      </c>
      <c r="N46">
        <v>1.98064516129032</v>
      </c>
      <c r="O46">
        <v>7.7082795698924702</v>
      </c>
      <c r="P46">
        <v>155</v>
      </c>
    </row>
    <row r="47" spans="1:16" hidden="1" x14ac:dyDescent="0.35">
      <c r="A47" t="s">
        <v>308</v>
      </c>
      <c r="B47">
        <v>28</v>
      </c>
      <c r="C47">
        <v>0</v>
      </c>
      <c r="D47">
        <v>0</v>
      </c>
      <c r="E47">
        <v>0</v>
      </c>
      <c r="F47">
        <v>0</v>
      </c>
      <c r="G47">
        <v>20</v>
      </c>
      <c r="H47">
        <v>9</v>
      </c>
      <c r="I47">
        <v>11</v>
      </c>
      <c r="J47">
        <v>52</v>
      </c>
      <c r="K47">
        <v>17</v>
      </c>
      <c r="L47">
        <v>0.32692307692307698</v>
      </c>
      <c r="M47">
        <v>0.9</v>
      </c>
      <c r="N47">
        <v>0</v>
      </c>
      <c r="O47">
        <v>12.840740740740699</v>
      </c>
      <c r="P47">
        <v>18</v>
      </c>
    </row>
    <row r="48" spans="1:16" hidden="1" x14ac:dyDescent="0.35">
      <c r="A48" t="s">
        <v>353</v>
      </c>
      <c r="B48">
        <v>28</v>
      </c>
      <c r="C48">
        <v>0</v>
      </c>
      <c r="D48">
        <v>1</v>
      </c>
      <c r="E48">
        <v>2</v>
      </c>
      <c r="F48">
        <v>3</v>
      </c>
      <c r="G48">
        <v>17</v>
      </c>
      <c r="H48">
        <v>0</v>
      </c>
      <c r="I48">
        <v>18</v>
      </c>
      <c r="J48">
        <v>146</v>
      </c>
      <c r="K48">
        <v>119</v>
      </c>
      <c r="L48">
        <v>0.81506849315068497</v>
      </c>
      <c r="M48">
        <v>7.0588235294117601</v>
      </c>
      <c r="N48">
        <v>1.99166666666667</v>
      </c>
      <c r="O48">
        <v>3.8288888888888901</v>
      </c>
      <c r="P48">
        <v>120</v>
      </c>
    </row>
    <row r="49" spans="1:16" hidden="1" x14ac:dyDescent="0.35">
      <c r="A49" t="s">
        <v>29</v>
      </c>
      <c r="B49">
        <v>28</v>
      </c>
      <c r="C49">
        <v>0</v>
      </c>
      <c r="D49">
        <v>0</v>
      </c>
      <c r="E49">
        <v>1.5</v>
      </c>
      <c r="F49">
        <v>1.5</v>
      </c>
      <c r="G49">
        <v>18.5</v>
      </c>
      <c r="H49">
        <v>0.5</v>
      </c>
      <c r="I49">
        <v>18</v>
      </c>
      <c r="J49">
        <v>224</v>
      </c>
      <c r="K49">
        <v>144</v>
      </c>
      <c r="L49">
        <v>0.64285714285714302</v>
      </c>
      <c r="M49">
        <v>7.9459459459459501</v>
      </c>
      <c r="N49">
        <v>0</v>
      </c>
      <c r="O49">
        <v>11.717460317460301</v>
      </c>
      <c r="P49">
        <v>147</v>
      </c>
    </row>
    <row r="50" spans="1:16" hidden="1" x14ac:dyDescent="0.35">
      <c r="A50" t="s">
        <v>272</v>
      </c>
      <c r="B50">
        <v>28</v>
      </c>
      <c r="C50">
        <v>0</v>
      </c>
      <c r="D50">
        <v>1</v>
      </c>
      <c r="E50">
        <v>1.5</v>
      </c>
      <c r="F50">
        <v>2.5</v>
      </c>
      <c r="G50">
        <v>17.5</v>
      </c>
      <c r="H50">
        <v>1.5</v>
      </c>
      <c r="I50">
        <v>16</v>
      </c>
      <c r="J50">
        <v>158</v>
      </c>
      <c r="K50">
        <v>120</v>
      </c>
      <c r="L50">
        <v>0.759493670886076</v>
      </c>
      <c r="M50">
        <v>6.8571428571428603</v>
      </c>
      <c r="N50">
        <v>0</v>
      </c>
      <c r="O50">
        <v>12.0077777777778</v>
      </c>
      <c r="P50">
        <v>120</v>
      </c>
    </row>
    <row r="51" spans="1:16" hidden="1" x14ac:dyDescent="0.35">
      <c r="A51" t="s">
        <v>32</v>
      </c>
      <c r="B51">
        <v>28</v>
      </c>
      <c r="C51">
        <v>0</v>
      </c>
      <c r="D51">
        <v>2</v>
      </c>
      <c r="E51">
        <v>1.5</v>
      </c>
      <c r="F51">
        <v>3.5</v>
      </c>
      <c r="G51">
        <v>16.5</v>
      </c>
      <c r="H51">
        <v>0</v>
      </c>
      <c r="I51">
        <v>17</v>
      </c>
      <c r="J51">
        <v>141</v>
      </c>
      <c r="K51">
        <v>121</v>
      </c>
      <c r="L51">
        <v>0.85815602836879401</v>
      </c>
      <c r="M51">
        <v>7.3333333333333304</v>
      </c>
      <c r="N51">
        <v>9.9173553719008295E-2</v>
      </c>
      <c r="O51">
        <v>11.5619834710744</v>
      </c>
      <c r="P51">
        <v>121</v>
      </c>
    </row>
    <row r="52" spans="1:16" hidden="1" x14ac:dyDescent="0.35">
      <c r="A52" t="s">
        <v>99</v>
      </c>
      <c r="B52">
        <v>28</v>
      </c>
      <c r="C52">
        <v>0</v>
      </c>
      <c r="D52">
        <v>1</v>
      </c>
      <c r="E52">
        <v>0</v>
      </c>
      <c r="F52">
        <v>1</v>
      </c>
      <c r="G52">
        <v>19</v>
      </c>
      <c r="H52">
        <v>3</v>
      </c>
      <c r="I52">
        <v>16</v>
      </c>
      <c r="J52">
        <v>156</v>
      </c>
      <c r="K52">
        <v>140</v>
      </c>
      <c r="L52">
        <v>0.89743589743589702</v>
      </c>
      <c r="M52">
        <v>7.5789473684210504</v>
      </c>
      <c r="N52">
        <v>0</v>
      </c>
      <c r="O52">
        <v>7.4291666666666698</v>
      </c>
      <c r="P52">
        <v>144</v>
      </c>
    </row>
    <row r="53" spans="1:16" hidden="1" x14ac:dyDescent="0.35">
      <c r="A53" t="s">
        <v>298</v>
      </c>
      <c r="B53">
        <v>28</v>
      </c>
      <c r="C53">
        <v>0</v>
      </c>
      <c r="D53">
        <v>0</v>
      </c>
      <c r="E53">
        <v>1</v>
      </c>
      <c r="F53">
        <v>1</v>
      </c>
      <c r="G53">
        <v>19</v>
      </c>
      <c r="H53">
        <v>1</v>
      </c>
      <c r="I53">
        <v>18</v>
      </c>
      <c r="J53">
        <v>192</v>
      </c>
      <c r="K53">
        <v>141</v>
      </c>
      <c r="L53">
        <v>0.734375</v>
      </c>
      <c r="M53">
        <v>8.5263157894736796</v>
      </c>
      <c r="N53">
        <v>1.3641975308642</v>
      </c>
      <c r="O53">
        <v>11.561213991769501</v>
      </c>
      <c r="P53">
        <v>162</v>
      </c>
    </row>
    <row r="54" spans="1:16" hidden="1" x14ac:dyDescent="0.35">
      <c r="A54" t="s">
        <v>19</v>
      </c>
      <c r="B54">
        <v>28</v>
      </c>
      <c r="C54">
        <v>0</v>
      </c>
      <c r="D54">
        <v>0</v>
      </c>
      <c r="E54">
        <v>0</v>
      </c>
      <c r="F54">
        <v>0</v>
      </c>
      <c r="G54">
        <v>20</v>
      </c>
      <c r="H54">
        <v>20</v>
      </c>
      <c r="I54">
        <v>0</v>
      </c>
      <c r="J54">
        <v>147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hidden="1" x14ac:dyDescent="0.35">
      <c r="A55" t="s">
        <v>131</v>
      </c>
      <c r="B55">
        <v>28</v>
      </c>
      <c r="C55">
        <v>0</v>
      </c>
      <c r="D55">
        <v>0</v>
      </c>
      <c r="E55">
        <v>0</v>
      </c>
      <c r="F55">
        <v>0</v>
      </c>
      <c r="G55">
        <v>20</v>
      </c>
      <c r="H55">
        <v>5</v>
      </c>
      <c r="I55">
        <v>15</v>
      </c>
      <c r="J55">
        <v>40</v>
      </c>
      <c r="K55">
        <v>33</v>
      </c>
      <c r="L55">
        <v>0.82499999999999996</v>
      </c>
      <c r="M55">
        <v>1.8</v>
      </c>
      <c r="N55">
        <v>0.11111111111111099</v>
      </c>
      <c r="O55">
        <v>5.2949074074074103</v>
      </c>
      <c r="P55">
        <v>36</v>
      </c>
    </row>
    <row r="56" spans="1:16" hidden="1" x14ac:dyDescent="0.35">
      <c r="A56" t="s">
        <v>137</v>
      </c>
      <c r="B56">
        <v>28</v>
      </c>
      <c r="C56">
        <v>0</v>
      </c>
      <c r="D56">
        <v>1</v>
      </c>
      <c r="E56">
        <v>1.5</v>
      </c>
      <c r="F56">
        <v>2.5</v>
      </c>
      <c r="G56">
        <v>17.5</v>
      </c>
      <c r="H56">
        <v>0.5</v>
      </c>
      <c r="I56">
        <v>17</v>
      </c>
      <c r="J56">
        <v>128</v>
      </c>
      <c r="K56">
        <v>128</v>
      </c>
      <c r="L56">
        <v>1</v>
      </c>
      <c r="M56">
        <v>7.3714285714285701</v>
      </c>
      <c r="N56">
        <v>1.0077519379844999</v>
      </c>
      <c r="O56">
        <v>17.7772609819121</v>
      </c>
      <c r="P56">
        <v>129</v>
      </c>
    </row>
    <row r="57" spans="1:16" hidden="1" x14ac:dyDescent="0.35">
      <c r="A57" t="s">
        <v>327</v>
      </c>
      <c r="B57">
        <v>28</v>
      </c>
      <c r="C57">
        <v>0</v>
      </c>
      <c r="D57">
        <v>0</v>
      </c>
      <c r="E57">
        <v>0.5</v>
      </c>
      <c r="F57">
        <v>0.5</v>
      </c>
      <c r="G57">
        <v>19.5</v>
      </c>
      <c r="H57">
        <v>1.5</v>
      </c>
      <c r="I57">
        <v>18</v>
      </c>
      <c r="J57">
        <v>256</v>
      </c>
      <c r="K57">
        <v>131</v>
      </c>
      <c r="L57">
        <v>0.51171875</v>
      </c>
      <c r="M57">
        <v>7.5384615384615401</v>
      </c>
      <c r="N57">
        <v>0.80272108843537404</v>
      </c>
      <c r="O57">
        <v>3.8502267573696098</v>
      </c>
      <c r="P57">
        <v>147</v>
      </c>
    </row>
    <row r="58" spans="1:16" hidden="1" x14ac:dyDescent="0.35">
      <c r="A58" t="s">
        <v>268</v>
      </c>
      <c r="B58">
        <v>28</v>
      </c>
      <c r="C58">
        <v>0</v>
      </c>
      <c r="D58">
        <v>2</v>
      </c>
      <c r="E58">
        <v>2</v>
      </c>
      <c r="F58">
        <v>4</v>
      </c>
      <c r="G58">
        <v>16</v>
      </c>
      <c r="H58">
        <v>6</v>
      </c>
      <c r="I58">
        <v>10</v>
      </c>
      <c r="J58">
        <v>214</v>
      </c>
      <c r="K58">
        <v>66</v>
      </c>
      <c r="L58">
        <v>0.30841121495327101</v>
      </c>
      <c r="M58">
        <v>4.125</v>
      </c>
      <c r="N58">
        <v>0</v>
      </c>
      <c r="O58">
        <v>3.3406565656565701</v>
      </c>
      <c r="P58">
        <v>66</v>
      </c>
    </row>
    <row r="59" spans="1:16" hidden="1" x14ac:dyDescent="0.35">
      <c r="A59" t="s">
        <v>117</v>
      </c>
      <c r="B59">
        <v>28</v>
      </c>
      <c r="C59">
        <v>0</v>
      </c>
      <c r="D59">
        <v>0</v>
      </c>
      <c r="E59">
        <v>0</v>
      </c>
      <c r="F59">
        <v>0</v>
      </c>
      <c r="G59">
        <v>20</v>
      </c>
      <c r="H59">
        <v>4</v>
      </c>
      <c r="I59">
        <v>16</v>
      </c>
      <c r="J59">
        <v>147</v>
      </c>
      <c r="K59">
        <v>123</v>
      </c>
      <c r="L59">
        <v>0.83673469387755095</v>
      </c>
      <c r="M59">
        <v>6.15</v>
      </c>
      <c r="N59">
        <v>1.82113821138211</v>
      </c>
      <c r="O59">
        <v>25.008401084010799</v>
      </c>
      <c r="P59">
        <v>123</v>
      </c>
    </row>
    <row r="60" spans="1:16" hidden="1" x14ac:dyDescent="0.35">
      <c r="A60" t="s">
        <v>20</v>
      </c>
      <c r="B60">
        <v>28</v>
      </c>
      <c r="C60">
        <v>0</v>
      </c>
      <c r="D60">
        <v>2</v>
      </c>
      <c r="E60">
        <v>1.5</v>
      </c>
      <c r="F60">
        <v>3.5</v>
      </c>
      <c r="G60">
        <v>16.5</v>
      </c>
      <c r="H60">
        <v>0</v>
      </c>
      <c r="I60">
        <v>17</v>
      </c>
      <c r="J60">
        <v>184</v>
      </c>
      <c r="K60">
        <v>161</v>
      </c>
      <c r="L60">
        <v>0.875</v>
      </c>
      <c r="M60">
        <v>9.7575757575757596</v>
      </c>
      <c r="N60">
        <v>0</v>
      </c>
      <c r="O60">
        <v>8.6108695652173903</v>
      </c>
      <c r="P60">
        <v>161</v>
      </c>
    </row>
    <row r="61" spans="1:16" hidden="1" x14ac:dyDescent="0.35">
      <c r="A61" t="s">
        <v>354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hidden="1" x14ac:dyDescent="0.35">
      <c r="A62" t="s">
        <v>366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hidden="1" x14ac:dyDescent="0.35">
      <c r="A63" t="s">
        <v>70</v>
      </c>
      <c r="B63">
        <v>28</v>
      </c>
      <c r="C63">
        <v>0</v>
      </c>
      <c r="D63">
        <v>0</v>
      </c>
      <c r="E63">
        <v>0</v>
      </c>
      <c r="F63">
        <v>0</v>
      </c>
      <c r="G63">
        <v>20</v>
      </c>
      <c r="H63">
        <v>3</v>
      </c>
      <c r="I63">
        <v>17</v>
      </c>
      <c r="J63">
        <v>212</v>
      </c>
      <c r="K63">
        <v>148</v>
      </c>
      <c r="L63">
        <v>0.69811320754716999</v>
      </c>
      <c r="M63">
        <v>7.5</v>
      </c>
      <c r="N63">
        <v>0</v>
      </c>
      <c r="O63">
        <v>12.240222222222201</v>
      </c>
      <c r="P63">
        <v>150</v>
      </c>
    </row>
    <row r="64" spans="1:16" hidden="1" x14ac:dyDescent="0.35">
      <c r="A64" t="s">
        <v>242</v>
      </c>
      <c r="B64">
        <v>28</v>
      </c>
      <c r="C64">
        <v>0</v>
      </c>
      <c r="D64">
        <v>0</v>
      </c>
      <c r="E64">
        <v>0</v>
      </c>
      <c r="F64">
        <v>0</v>
      </c>
      <c r="G64">
        <v>20</v>
      </c>
      <c r="H64">
        <v>20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hidden="1" x14ac:dyDescent="0.35">
      <c r="A65" t="s">
        <v>245</v>
      </c>
      <c r="B65">
        <v>28</v>
      </c>
      <c r="C65">
        <v>0</v>
      </c>
      <c r="D65">
        <v>0</v>
      </c>
      <c r="E65">
        <v>0</v>
      </c>
      <c r="F65">
        <v>0</v>
      </c>
      <c r="G65">
        <v>20</v>
      </c>
      <c r="H65">
        <v>20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hidden="1" x14ac:dyDescent="0.35">
      <c r="A66" t="s">
        <v>248</v>
      </c>
      <c r="B66">
        <v>28</v>
      </c>
      <c r="C66">
        <v>0</v>
      </c>
      <c r="D66">
        <v>0</v>
      </c>
      <c r="E66">
        <v>0</v>
      </c>
      <c r="F66">
        <v>0</v>
      </c>
      <c r="G66">
        <v>20</v>
      </c>
      <c r="H66">
        <v>20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hidden="1" x14ac:dyDescent="0.35">
      <c r="A67" t="s">
        <v>249</v>
      </c>
      <c r="B67">
        <v>28</v>
      </c>
      <c r="C67">
        <v>0</v>
      </c>
      <c r="D67">
        <v>0</v>
      </c>
      <c r="E67">
        <v>0</v>
      </c>
      <c r="F67">
        <v>0</v>
      </c>
      <c r="G67">
        <v>20</v>
      </c>
      <c r="H67">
        <v>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hidden="1" x14ac:dyDescent="0.35">
      <c r="A68" t="s">
        <v>254</v>
      </c>
      <c r="B68">
        <v>28</v>
      </c>
      <c r="C68">
        <v>0</v>
      </c>
      <c r="D68">
        <v>0</v>
      </c>
      <c r="E68">
        <v>0</v>
      </c>
      <c r="F68">
        <v>0</v>
      </c>
      <c r="G68">
        <v>20</v>
      </c>
      <c r="H68">
        <v>20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hidden="1" x14ac:dyDescent="0.35">
      <c r="A69" t="s">
        <v>255</v>
      </c>
      <c r="B69">
        <v>28</v>
      </c>
      <c r="C69">
        <v>0</v>
      </c>
      <c r="D69">
        <v>0</v>
      </c>
      <c r="E69">
        <v>0</v>
      </c>
      <c r="F69">
        <v>0</v>
      </c>
      <c r="G69">
        <v>20</v>
      </c>
      <c r="H69">
        <v>20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hidden="1" x14ac:dyDescent="0.35">
      <c r="A70" t="s">
        <v>256</v>
      </c>
      <c r="B70">
        <v>28</v>
      </c>
      <c r="C70">
        <v>0</v>
      </c>
      <c r="D70">
        <v>0</v>
      </c>
      <c r="E70">
        <v>0</v>
      </c>
      <c r="F70">
        <v>0</v>
      </c>
      <c r="G70">
        <v>20</v>
      </c>
      <c r="H70">
        <v>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hidden="1" x14ac:dyDescent="0.35">
      <c r="A71" t="s">
        <v>257</v>
      </c>
      <c r="B71">
        <v>28</v>
      </c>
      <c r="C71">
        <v>0</v>
      </c>
      <c r="D71">
        <v>0</v>
      </c>
      <c r="E71">
        <v>0</v>
      </c>
      <c r="F71">
        <v>0</v>
      </c>
      <c r="G71">
        <v>20</v>
      </c>
      <c r="H71">
        <v>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hidden="1" x14ac:dyDescent="0.35">
      <c r="A72" t="s">
        <v>355</v>
      </c>
      <c r="B72">
        <v>28</v>
      </c>
      <c r="C72">
        <v>0</v>
      </c>
      <c r="D72">
        <v>0</v>
      </c>
      <c r="E72">
        <v>0</v>
      </c>
      <c r="F72">
        <v>0</v>
      </c>
      <c r="G72">
        <v>20</v>
      </c>
      <c r="H72">
        <v>20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hidden="1" x14ac:dyDescent="0.35">
      <c r="A73" t="s">
        <v>356</v>
      </c>
      <c r="B73">
        <v>28</v>
      </c>
      <c r="C73">
        <v>0</v>
      </c>
      <c r="D73">
        <v>0</v>
      </c>
      <c r="E73">
        <v>0</v>
      </c>
      <c r="F73">
        <v>0</v>
      </c>
      <c r="G73">
        <v>20</v>
      </c>
      <c r="H73">
        <v>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hidden="1" x14ac:dyDescent="0.35">
      <c r="A74" t="s">
        <v>357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hidden="1" x14ac:dyDescent="0.35">
      <c r="A75" t="s">
        <v>130</v>
      </c>
      <c r="B75">
        <v>28</v>
      </c>
      <c r="C75">
        <v>0</v>
      </c>
      <c r="D75">
        <v>1</v>
      </c>
      <c r="E75">
        <v>1.5</v>
      </c>
      <c r="F75">
        <v>2.5</v>
      </c>
      <c r="G75">
        <v>17.5</v>
      </c>
      <c r="H75">
        <v>0</v>
      </c>
      <c r="I75">
        <v>18</v>
      </c>
      <c r="J75">
        <v>161</v>
      </c>
      <c r="K75">
        <v>158</v>
      </c>
      <c r="L75">
        <v>0.98136645962732905</v>
      </c>
      <c r="M75">
        <v>9.0285714285714302</v>
      </c>
      <c r="N75">
        <v>1.90506329113924</v>
      </c>
      <c r="O75">
        <v>3.89040084388186</v>
      </c>
      <c r="P75">
        <v>158</v>
      </c>
    </row>
    <row r="76" spans="1:16" hidden="1" x14ac:dyDescent="0.35">
      <c r="A76" t="s">
        <v>287</v>
      </c>
      <c r="B76">
        <v>28</v>
      </c>
      <c r="C76">
        <v>0</v>
      </c>
      <c r="D76">
        <v>0</v>
      </c>
      <c r="E76">
        <v>0</v>
      </c>
      <c r="F76">
        <v>0</v>
      </c>
      <c r="G76">
        <v>20</v>
      </c>
      <c r="H76">
        <v>2</v>
      </c>
      <c r="I76">
        <v>18</v>
      </c>
      <c r="J76">
        <v>215</v>
      </c>
      <c r="K76">
        <v>148</v>
      </c>
      <c r="L76">
        <v>0.68837209302325597</v>
      </c>
      <c r="M76">
        <v>7.8</v>
      </c>
      <c r="N76">
        <v>1.2692307692307701</v>
      </c>
      <c r="O76">
        <v>17.218055555555601</v>
      </c>
      <c r="P76">
        <v>156</v>
      </c>
    </row>
    <row r="77" spans="1:16" hidden="1" x14ac:dyDescent="0.35">
      <c r="A77" t="s">
        <v>40</v>
      </c>
      <c r="B77">
        <v>28</v>
      </c>
      <c r="C77">
        <v>0</v>
      </c>
      <c r="D77">
        <v>0</v>
      </c>
      <c r="E77">
        <v>0</v>
      </c>
      <c r="F77">
        <v>0</v>
      </c>
      <c r="G77">
        <v>20</v>
      </c>
      <c r="H77">
        <v>8</v>
      </c>
      <c r="I77">
        <v>12</v>
      </c>
      <c r="J77">
        <v>44</v>
      </c>
      <c r="K77">
        <v>5</v>
      </c>
      <c r="L77">
        <v>0.11363636363636399</v>
      </c>
      <c r="M77">
        <v>0.25</v>
      </c>
      <c r="N77">
        <v>0</v>
      </c>
      <c r="O77">
        <v>28.18</v>
      </c>
      <c r="P77">
        <v>5</v>
      </c>
    </row>
    <row r="78" spans="1:16" hidden="1" x14ac:dyDescent="0.35">
      <c r="A78" t="s">
        <v>299</v>
      </c>
      <c r="B78">
        <v>28</v>
      </c>
      <c r="C78">
        <v>0</v>
      </c>
      <c r="D78">
        <v>1</v>
      </c>
      <c r="E78">
        <v>1</v>
      </c>
      <c r="F78">
        <v>2</v>
      </c>
      <c r="G78">
        <v>18</v>
      </c>
      <c r="H78">
        <v>1</v>
      </c>
      <c r="I78">
        <v>17</v>
      </c>
      <c r="J78">
        <v>159</v>
      </c>
      <c r="K78">
        <v>137</v>
      </c>
      <c r="L78">
        <v>0.86163522012578597</v>
      </c>
      <c r="M78">
        <v>8.6111111111111107</v>
      </c>
      <c r="N78">
        <v>0</v>
      </c>
      <c r="O78">
        <v>12.2909677419355</v>
      </c>
      <c r="P78">
        <v>155</v>
      </c>
    </row>
  </sheetData>
  <autoFilter ref="A1:P78" xr:uid="{142FFEA5-CD0B-46E1-BF2F-74E0BA1888C6}">
    <filterColumn colId="0">
      <filters>
        <filter val="Amany Youssef Ismail Al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Till 16 - Oct</vt:lpstr>
      <vt:lpstr>2-2026</vt:lpstr>
      <vt:lpstr>Sheet1</vt:lpstr>
      <vt:lpstr>sheet</vt:lpstr>
      <vt:lpstr>Performance</vt:lpstr>
      <vt:lpstr>performance1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 Mosaad</dc:creator>
  <cp:lastModifiedBy>Dell</cp:lastModifiedBy>
  <dcterms:created xsi:type="dcterms:W3CDTF">2024-01-01T08:50:07Z</dcterms:created>
  <dcterms:modified xsi:type="dcterms:W3CDTF">2026-03-08T11:33:37Z</dcterms:modified>
</cp:coreProperties>
</file>