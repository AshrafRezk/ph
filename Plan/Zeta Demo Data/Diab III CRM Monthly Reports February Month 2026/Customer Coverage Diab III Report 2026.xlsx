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onthly Reports\Feb 2026\Kamal Allam\Diab III\"/>
    </mc:Choice>
  </mc:AlternateContent>
  <xr:revisionPtr revIDLastSave="0" documentId="13_ncr:1_{F7A5551C-E560-49C4-8F1C-FAFA4C6E92A4}" xr6:coauthVersionLast="47" xr6:coauthVersionMax="47" xr10:uidLastSave="{00000000-0000-0000-0000-000000000000}"/>
  <bookViews>
    <workbookView xWindow="-110" yWindow="-110" windowWidth="19420" windowHeight="10420" xr2:uid="{4EAFFDEF-A299-4F6C-B5B3-0FDEE8C412C8}"/>
  </bookViews>
  <sheets>
    <sheet name="2-2026" sheetId="30" r:id="rId1"/>
    <sheet name="Sheet1" sheetId="31" state="hidden" r:id="rId2"/>
    <sheet name="sheet" sheetId="16" state="hidden" r:id="rId3"/>
    <sheet name="Coverage" sheetId="2" state="hidden" r:id="rId4"/>
  </sheets>
  <definedNames>
    <definedName name="_xlnm._FilterDatabase" localSheetId="0" hidden="1">'2-2026'!$B$1:$N$57</definedName>
    <definedName name="_xlnm._FilterDatabase" localSheetId="3" hidden="1">Coverage!$A$1:$I$58</definedName>
    <definedName name="_xlnm._FilterDatabase" localSheetId="2" hidden="1">sheet!$B$1:$C$57</definedName>
    <definedName name="_xlnm._FilterDatabase" localSheetId="1" hidden="1">Sheet1!$A$1:$V$50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37" i="16" l="1"/>
  <c r="F37" i="16"/>
  <c r="N37" i="16" s="1"/>
  <c r="M4" i="16"/>
  <c r="N4" i="16" s="1"/>
  <c r="M5" i="16"/>
  <c r="M6" i="16"/>
  <c r="N6" i="16" s="1"/>
  <c r="M7" i="16"/>
  <c r="M11" i="16" s="1"/>
  <c r="M8" i="16"/>
  <c r="M9" i="16"/>
  <c r="N9" i="16" s="1"/>
  <c r="M10" i="16"/>
  <c r="N10" i="16" s="1"/>
  <c r="M12" i="16"/>
  <c r="M13" i="16"/>
  <c r="N13" i="16" s="1"/>
  <c r="M14" i="16"/>
  <c r="M15" i="16"/>
  <c r="N15" i="16" s="1"/>
  <c r="M16" i="16"/>
  <c r="M20" i="16" s="1"/>
  <c r="M17" i="16"/>
  <c r="M18" i="16"/>
  <c r="N18" i="16" s="1"/>
  <c r="M19" i="16"/>
  <c r="N19" i="16" s="1"/>
  <c r="M21" i="16"/>
  <c r="M29" i="16" s="1"/>
  <c r="M22" i="16"/>
  <c r="N22" i="16" s="1"/>
  <c r="M23" i="16"/>
  <c r="M24" i="16"/>
  <c r="N24" i="16" s="1"/>
  <c r="M25" i="16"/>
  <c r="N25" i="16" s="1"/>
  <c r="M26" i="16"/>
  <c r="M27" i="16"/>
  <c r="N27" i="16" s="1"/>
  <c r="M28" i="16"/>
  <c r="N28" i="16" s="1"/>
  <c r="M30" i="16"/>
  <c r="N30" i="16" s="1"/>
  <c r="M31" i="16"/>
  <c r="N31" i="16" s="1"/>
  <c r="M32" i="16"/>
  <c r="N32" i="16" s="1"/>
  <c r="M33" i="16"/>
  <c r="N33" i="16" s="1"/>
  <c r="M34" i="16"/>
  <c r="N34" i="16" s="1"/>
  <c r="M35" i="16"/>
  <c r="N35" i="16" s="1"/>
  <c r="M36" i="16"/>
  <c r="N36" i="16" s="1"/>
  <c r="M38" i="16"/>
  <c r="N38" i="16" s="1"/>
  <c r="M39" i="16"/>
  <c r="N39" i="16" s="1"/>
  <c r="M40" i="16"/>
  <c r="N40" i="16" s="1"/>
  <c r="M41" i="16"/>
  <c r="N41" i="16" s="1"/>
  <c r="M42" i="16"/>
  <c r="N42" i="16" s="1"/>
  <c r="M43" i="16"/>
  <c r="N43" i="16" s="1"/>
  <c r="M44" i="16"/>
  <c r="N44" i="16" s="1"/>
  <c r="M45" i="16"/>
  <c r="N45" i="16" s="1"/>
  <c r="M47" i="16"/>
  <c r="N47" i="16" s="1"/>
  <c r="M48" i="16"/>
  <c r="N48" i="16" s="1"/>
  <c r="M49" i="16"/>
  <c r="N49" i="16" s="1"/>
  <c r="M50" i="16"/>
  <c r="N50" i="16" s="1"/>
  <c r="M51" i="16"/>
  <c r="N51" i="16" s="1"/>
  <c r="M52" i="16"/>
  <c r="N52" i="16" s="1"/>
  <c r="M54" i="16"/>
  <c r="N54" i="16" s="1"/>
  <c r="M55" i="16"/>
  <c r="M60" i="16" s="1"/>
  <c r="M56" i="16"/>
  <c r="N56" i="16" s="1"/>
  <c r="M57" i="16"/>
  <c r="N57" i="16" s="1"/>
  <c r="M58" i="16"/>
  <c r="N58" i="16" s="1"/>
  <c r="M59" i="16"/>
  <c r="N59" i="16" s="1"/>
  <c r="M61" i="16"/>
  <c r="M66" i="16" s="1"/>
  <c r="M62" i="16"/>
  <c r="N62" i="16" s="1"/>
  <c r="M63" i="16"/>
  <c r="N63" i="16" s="1"/>
  <c r="M64" i="16"/>
  <c r="N64" i="16" s="1"/>
  <c r="M65" i="16"/>
  <c r="N65" i="16" s="1"/>
  <c r="M3" i="16"/>
  <c r="N3" i="16" s="1"/>
  <c r="L4" i="16"/>
  <c r="L5" i="16"/>
  <c r="L6" i="16"/>
  <c r="L7" i="16"/>
  <c r="L8" i="16"/>
  <c r="L9" i="16"/>
  <c r="L11" i="16" s="1"/>
  <c r="L10" i="16"/>
  <c r="L12" i="16"/>
  <c r="L13" i="16"/>
  <c r="L14" i="16"/>
  <c r="L15" i="16"/>
  <c r="L16" i="16"/>
  <c r="L20" i="16" s="1"/>
  <c r="L17" i="16"/>
  <c r="L18" i="16"/>
  <c r="L19" i="16"/>
  <c r="L21" i="16"/>
  <c r="L29" i="16" s="1"/>
  <c r="L22" i="16"/>
  <c r="L23" i="16"/>
  <c r="L24" i="16"/>
  <c r="L25" i="16"/>
  <c r="L26" i="16"/>
  <c r="L27" i="16"/>
  <c r="L28" i="16"/>
  <c r="L30" i="16"/>
  <c r="L31" i="16"/>
  <c r="L32" i="16"/>
  <c r="L33" i="16"/>
  <c r="L34" i="16"/>
  <c r="L35" i="16"/>
  <c r="L36" i="16"/>
  <c r="L37" i="16" s="1"/>
  <c r="L38" i="16"/>
  <c r="L39" i="16"/>
  <c r="L46" i="16" s="1"/>
  <c r="L40" i="16"/>
  <c r="L41" i="16"/>
  <c r="L42" i="16"/>
  <c r="L43" i="16"/>
  <c r="L44" i="16"/>
  <c r="L45" i="16"/>
  <c r="L47" i="16"/>
  <c r="L48" i="16"/>
  <c r="L53" i="16" s="1"/>
  <c r="L49" i="16"/>
  <c r="L50" i="16"/>
  <c r="L51" i="16"/>
  <c r="L52" i="16"/>
  <c r="L54" i="16"/>
  <c r="L55" i="16"/>
  <c r="L60" i="16" s="1"/>
  <c r="L56" i="16"/>
  <c r="L57" i="16"/>
  <c r="L58" i="16"/>
  <c r="L59" i="16"/>
  <c r="L61" i="16"/>
  <c r="L66" i="16" s="1"/>
  <c r="L62" i="16"/>
  <c r="L63" i="16"/>
  <c r="L64" i="16"/>
  <c r="L65" i="16"/>
  <c r="L3" i="16"/>
  <c r="K4" i="16"/>
  <c r="K5" i="16"/>
  <c r="K6" i="16"/>
  <c r="K7" i="16"/>
  <c r="K8" i="16"/>
  <c r="K9" i="16"/>
  <c r="K11" i="16" s="1"/>
  <c r="K10" i="16"/>
  <c r="K12" i="16"/>
  <c r="K13" i="16"/>
  <c r="K14" i="16"/>
  <c r="K15" i="16"/>
  <c r="K16" i="16"/>
  <c r="K20" i="16" s="1"/>
  <c r="K17" i="16"/>
  <c r="K18" i="16"/>
  <c r="K19" i="16"/>
  <c r="K21" i="16"/>
  <c r="K29" i="16" s="1"/>
  <c r="K22" i="16"/>
  <c r="K23" i="16"/>
  <c r="K24" i="16"/>
  <c r="K25" i="16"/>
  <c r="K26" i="16"/>
  <c r="K27" i="16"/>
  <c r="K28" i="16"/>
  <c r="K30" i="16"/>
  <c r="K31" i="16"/>
  <c r="K32" i="16"/>
  <c r="K33" i="16"/>
  <c r="K34" i="16"/>
  <c r="K35" i="16"/>
  <c r="K36" i="16"/>
  <c r="K37" i="16" s="1"/>
  <c r="K38" i="16"/>
  <c r="K39" i="16"/>
  <c r="K46" i="16" s="1"/>
  <c r="K40" i="16"/>
  <c r="K41" i="16"/>
  <c r="K42" i="16"/>
  <c r="K43" i="16"/>
  <c r="K44" i="16"/>
  <c r="K45" i="16"/>
  <c r="K47" i="16"/>
  <c r="K48" i="16"/>
  <c r="K53" i="16" s="1"/>
  <c r="K49" i="16"/>
  <c r="K50" i="16"/>
  <c r="K51" i="16"/>
  <c r="K52" i="16"/>
  <c r="K54" i="16"/>
  <c r="K55" i="16"/>
  <c r="K60" i="16" s="1"/>
  <c r="K56" i="16"/>
  <c r="K57" i="16"/>
  <c r="K58" i="16"/>
  <c r="K59" i="16"/>
  <c r="K61" i="16"/>
  <c r="K66" i="16" s="1"/>
  <c r="K62" i="16"/>
  <c r="K63" i="16"/>
  <c r="K64" i="16"/>
  <c r="K65" i="16"/>
  <c r="K3" i="16"/>
  <c r="J4" i="16"/>
  <c r="J5" i="16"/>
  <c r="J6" i="16"/>
  <c r="J7" i="16"/>
  <c r="J8" i="16"/>
  <c r="J9" i="16"/>
  <c r="J11" i="16" s="1"/>
  <c r="J10" i="16"/>
  <c r="J12" i="16"/>
  <c r="J13" i="16"/>
  <c r="J14" i="16"/>
  <c r="J15" i="16"/>
  <c r="J16" i="16"/>
  <c r="J20" i="16" s="1"/>
  <c r="J17" i="16"/>
  <c r="J18" i="16"/>
  <c r="J19" i="16"/>
  <c r="J21" i="16"/>
  <c r="J29" i="16" s="1"/>
  <c r="J22" i="16"/>
  <c r="J23" i="16"/>
  <c r="J24" i="16"/>
  <c r="J25" i="16"/>
  <c r="J26" i="16"/>
  <c r="J27" i="16"/>
  <c r="J28" i="16"/>
  <c r="J30" i="16"/>
  <c r="J31" i="16"/>
  <c r="J32" i="16"/>
  <c r="J33" i="16"/>
  <c r="J34" i="16"/>
  <c r="J35" i="16"/>
  <c r="J36" i="16"/>
  <c r="J37" i="16" s="1"/>
  <c r="J38" i="16"/>
  <c r="J39" i="16"/>
  <c r="J46" i="16" s="1"/>
  <c r="J40" i="16"/>
  <c r="J41" i="16"/>
  <c r="J42" i="16"/>
  <c r="J43" i="16"/>
  <c r="J44" i="16"/>
  <c r="J45" i="16"/>
  <c r="J47" i="16"/>
  <c r="J48" i="16"/>
  <c r="J53" i="16" s="1"/>
  <c r="J49" i="16"/>
  <c r="J50" i="16"/>
  <c r="J51" i="16"/>
  <c r="J52" i="16"/>
  <c r="J54" i="16"/>
  <c r="J55" i="16"/>
  <c r="J60" i="16" s="1"/>
  <c r="J56" i="16"/>
  <c r="J57" i="16"/>
  <c r="J58" i="16"/>
  <c r="J59" i="16"/>
  <c r="J61" i="16"/>
  <c r="J66" i="16" s="1"/>
  <c r="J62" i="16"/>
  <c r="J63" i="16"/>
  <c r="J64" i="16"/>
  <c r="J65" i="16"/>
  <c r="J3" i="16"/>
  <c r="I4" i="16"/>
  <c r="I5" i="16"/>
  <c r="I6" i="16"/>
  <c r="I7" i="16"/>
  <c r="I8" i="16"/>
  <c r="I9" i="16"/>
  <c r="I11" i="16" s="1"/>
  <c r="I10" i="16"/>
  <c r="I12" i="16"/>
  <c r="I13" i="16"/>
  <c r="I14" i="16"/>
  <c r="I15" i="16"/>
  <c r="I16" i="16"/>
  <c r="I20" i="16" s="1"/>
  <c r="I17" i="16"/>
  <c r="I18" i="16"/>
  <c r="I19" i="16"/>
  <c r="I21" i="16"/>
  <c r="I29" i="16" s="1"/>
  <c r="I22" i="16"/>
  <c r="I23" i="16"/>
  <c r="I24" i="16"/>
  <c r="I25" i="16"/>
  <c r="I26" i="16"/>
  <c r="I27" i="16"/>
  <c r="I28" i="16"/>
  <c r="I30" i="16"/>
  <c r="I31" i="16"/>
  <c r="I32" i="16"/>
  <c r="I33" i="16"/>
  <c r="I34" i="16"/>
  <c r="I35" i="16"/>
  <c r="I36" i="16"/>
  <c r="I37" i="16" s="1"/>
  <c r="I38" i="16"/>
  <c r="I39" i="16"/>
  <c r="I46" i="16" s="1"/>
  <c r="I40" i="16"/>
  <c r="I41" i="16"/>
  <c r="I42" i="16"/>
  <c r="I43" i="16"/>
  <c r="I44" i="16"/>
  <c r="I45" i="16"/>
  <c r="I47" i="16"/>
  <c r="I48" i="16"/>
  <c r="I53" i="16" s="1"/>
  <c r="I49" i="16"/>
  <c r="I50" i="16"/>
  <c r="I51" i="16"/>
  <c r="I52" i="16"/>
  <c r="I54" i="16"/>
  <c r="I55" i="16"/>
  <c r="I60" i="16" s="1"/>
  <c r="I56" i="16"/>
  <c r="I57" i="16"/>
  <c r="I58" i="16"/>
  <c r="I59" i="16"/>
  <c r="I61" i="16"/>
  <c r="I66" i="16" s="1"/>
  <c r="I62" i="16"/>
  <c r="I63" i="16"/>
  <c r="I64" i="16"/>
  <c r="I65" i="16"/>
  <c r="I3" i="16"/>
  <c r="H4" i="16"/>
  <c r="H5" i="16"/>
  <c r="H6" i="16"/>
  <c r="H7" i="16"/>
  <c r="H8" i="16"/>
  <c r="H9" i="16"/>
  <c r="H10" i="16"/>
  <c r="H12" i="16"/>
  <c r="H13" i="16"/>
  <c r="H14" i="16"/>
  <c r="H15" i="16"/>
  <c r="H16" i="16"/>
  <c r="H17" i="16"/>
  <c r="H18" i="16"/>
  <c r="H19" i="16"/>
  <c r="H21" i="16"/>
  <c r="H22" i="16"/>
  <c r="H23" i="16"/>
  <c r="H24" i="16"/>
  <c r="H25" i="16"/>
  <c r="H26" i="16"/>
  <c r="H27" i="16"/>
  <c r="H28" i="16"/>
  <c r="H30" i="16"/>
  <c r="H31" i="16"/>
  <c r="H32" i="16"/>
  <c r="H33" i="16"/>
  <c r="H34" i="16"/>
  <c r="H35" i="16"/>
  <c r="H36" i="16"/>
  <c r="H38" i="16"/>
  <c r="H39" i="16"/>
  <c r="H40" i="16"/>
  <c r="H41" i="16"/>
  <c r="H42" i="16"/>
  <c r="H43" i="16"/>
  <c r="H44" i="16"/>
  <c r="H45" i="16"/>
  <c r="H47" i="16"/>
  <c r="H48" i="16"/>
  <c r="H49" i="16"/>
  <c r="H50" i="16"/>
  <c r="H51" i="16"/>
  <c r="H52" i="16"/>
  <c r="H54" i="16"/>
  <c r="H55" i="16"/>
  <c r="H56" i="16"/>
  <c r="H57" i="16"/>
  <c r="H58" i="16"/>
  <c r="H59" i="16"/>
  <c r="H61" i="16"/>
  <c r="H62" i="16"/>
  <c r="H63" i="16"/>
  <c r="H64" i="16"/>
  <c r="H65" i="16"/>
  <c r="H3" i="16"/>
  <c r="G4" i="16"/>
  <c r="G5" i="16"/>
  <c r="G6" i="16"/>
  <c r="G7" i="16"/>
  <c r="G8" i="16"/>
  <c r="G9" i="16"/>
  <c r="G11" i="16" s="1"/>
  <c r="H11" i="16" s="1"/>
  <c r="G10" i="16"/>
  <c r="G12" i="16"/>
  <c r="G13" i="16"/>
  <c r="G14" i="16"/>
  <c r="G15" i="16"/>
  <c r="G16" i="16"/>
  <c r="G20" i="16" s="1"/>
  <c r="G17" i="16"/>
  <c r="G18" i="16"/>
  <c r="G19" i="16"/>
  <c r="G21" i="16"/>
  <c r="G29" i="16" s="1"/>
  <c r="G22" i="16"/>
  <c r="G23" i="16"/>
  <c r="G24" i="16"/>
  <c r="G25" i="16"/>
  <c r="G26" i="16"/>
  <c r="G27" i="16"/>
  <c r="G28" i="16"/>
  <c r="G30" i="16"/>
  <c r="G31" i="16"/>
  <c r="G32" i="16"/>
  <c r="G33" i="16"/>
  <c r="G34" i="16"/>
  <c r="G35" i="16"/>
  <c r="G36" i="16"/>
  <c r="G37" i="16" s="1"/>
  <c r="H37" i="16" s="1"/>
  <c r="G38" i="16"/>
  <c r="G39" i="16"/>
  <c r="G46" i="16" s="1"/>
  <c r="G40" i="16"/>
  <c r="G41" i="16"/>
  <c r="G42" i="16"/>
  <c r="G43" i="16"/>
  <c r="G44" i="16"/>
  <c r="G45" i="16"/>
  <c r="G47" i="16"/>
  <c r="G48" i="16"/>
  <c r="G53" i="16" s="1"/>
  <c r="G49" i="16"/>
  <c r="G50" i="16"/>
  <c r="G51" i="16"/>
  <c r="G52" i="16"/>
  <c r="G54" i="16"/>
  <c r="G55" i="16"/>
  <c r="G60" i="16" s="1"/>
  <c r="H60" i="16" s="1"/>
  <c r="G56" i="16"/>
  <c r="G57" i="16"/>
  <c r="G58" i="16"/>
  <c r="G59" i="16"/>
  <c r="G61" i="16"/>
  <c r="G66" i="16" s="1"/>
  <c r="G62" i="16"/>
  <c r="G63" i="16"/>
  <c r="G64" i="16"/>
  <c r="G65" i="16"/>
  <c r="G3" i="16"/>
  <c r="F4" i="16"/>
  <c r="F5" i="16"/>
  <c r="N5" i="16" s="1"/>
  <c r="F6" i="16"/>
  <c r="F7" i="16"/>
  <c r="F11" i="16" s="1"/>
  <c r="F8" i="16"/>
  <c r="N8" i="16" s="1"/>
  <c r="F9" i="16"/>
  <c r="F10" i="16"/>
  <c r="F12" i="16"/>
  <c r="N12" i="16" s="1"/>
  <c r="F13" i="16"/>
  <c r="F14" i="16"/>
  <c r="N14" i="16" s="1"/>
  <c r="F15" i="16"/>
  <c r="F16" i="16"/>
  <c r="F20" i="16" s="1"/>
  <c r="F17" i="16"/>
  <c r="N17" i="16" s="1"/>
  <c r="F18" i="16"/>
  <c r="F19" i="16"/>
  <c r="F21" i="16"/>
  <c r="F29" i="16" s="1"/>
  <c r="F22" i="16"/>
  <c r="F23" i="16"/>
  <c r="N23" i="16" s="1"/>
  <c r="F24" i="16"/>
  <c r="F25" i="16"/>
  <c r="F26" i="16"/>
  <c r="N26" i="16" s="1"/>
  <c r="F27" i="16"/>
  <c r="F28" i="16"/>
  <c r="F30" i="16"/>
  <c r="F31" i="16"/>
  <c r="F32" i="16"/>
  <c r="F33" i="16"/>
  <c r="F34" i="16"/>
  <c r="F35" i="16"/>
  <c r="F36" i="16"/>
  <c r="F38" i="16"/>
  <c r="F39" i="16"/>
  <c r="F46" i="16" s="1"/>
  <c r="F40" i="16"/>
  <c r="F41" i="16"/>
  <c r="F42" i="16"/>
  <c r="F43" i="16"/>
  <c r="F44" i="16"/>
  <c r="F45" i="16"/>
  <c r="F47" i="16"/>
  <c r="F48" i="16"/>
  <c r="F53" i="16" s="1"/>
  <c r="F49" i="16"/>
  <c r="F50" i="16"/>
  <c r="F51" i="16"/>
  <c r="F52" i="16"/>
  <c r="F54" i="16"/>
  <c r="F55" i="16"/>
  <c r="F56" i="16"/>
  <c r="F57" i="16"/>
  <c r="F60" i="16" s="1"/>
  <c r="N60" i="16" s="1"/>
  <c r="F58" i="16"/>
  <c r="F59" i="16"/>
  <c r="F61" i="16"/>
  <c r="F66" i="16" s="1"/>
  <c r="F62" i="16"/>
  <c r="F63" i="16"/>
  <c r="F64" i="16"/>
  <c r="F65" i="16"/>
  <c r="F3" i="16"/>
  <c r="H20" i="16" l="1"/>
  <c r="N20" i="16"/>
  <c r="N11" i="16"/>
  <c r="F67" i="16"/>
  <c r="H66" i="16"/>
  <c r="G67" i="16"/>
  <c r="H67" i="16" s="1"/>
  <c r="J67" i="16"/>
  <c r="K67" i="16"/>
  <c r="N66" i="16"/>
  <c r="I67" i="16"/>
  <c r="L67" i="16"/>
  <c r="H53" i="16"/>
  <c r="H46" i="16"/>
  <c r="H29" i="16"/>
  <c r="N29" i="16"/>
  <c r="N21" i="16"/>
  <c r="N55" i="16"/>
  <c r="N61" i="16"/>
  <c r="N16" i="16"/>
  <c r="N7" i="16"/>
  <c r="M46" i="16"/>
  <c r="N46" i="16" s="1"/>
  <c r="M53" i="16"/>
  <c r="M67" i="16" s="1"/>
  <c r="N67" i="16" s="1"/>
  <c r="N53" i="16"/>
</calcChain>
</file>

<file path=xl/sharedStrings.xml><?xml version="1.0" encoding="utf-8"?>
<sst xmlns="http://schemas.openxmlformats.org/spreadsheetml/2006/main" count="999" uniqueCount="205">
  <si>
    <t>Fatma Fawzy Mohamed Mahmoud</t>
  </si>
  <si>
    <t>Area</t>
  </si>
  <si>
    <t>Target Customers</t>
  </si>
  <si>
    <t>Target Customers Visited</t>
  </si>
  <si>
    <t>Target Customers Visit Coverage %</t>
  </si>
  <si>
    <t>Not Covered Customers</t>
  </si>
  <si>
    <t>Visited Customers</t>
  </si>
  <si>
    <t>Actual Visits</t>
  </si>
  <si>
    <t>Visits per Customer</t>
  </si>
  <si>
    <t>Vacant_Imbaba_I - Imbaba_II</t>
  </si>
  <si>
    <t>National Sales Manager</t>
  </si>
  <si>
    <t>Vacant_NasrCity</t>
  </si>
  <si>
    <t>1-Jan-2024</t>
  </si>
  <si>
    <t>2-Mar-2024</t>
  </si>
  <si>
    <t>18-Jul-2020</t>
  </si>
  <si>
    <t>1-Dec-2024</t>
  </si>
  <si>
    <t>10-Aug-2024</t>
  </si>
  <si>
    <t>Hiring Date</t>
  </si>
  <si>
    <t>Code</t>
  </si>
  <si>
    <t>Fully Covered Customers</t>
  </si>
  <si>
    <t>ECRP%</t>
  </si>
  <si>
    <t>Vacant_October_ElSheikhZaied</t>
  </si>
  <si>
    <t>Vacant</t>
  </si>
  <si>
    <t>Line</t>
  </si>
  <si>
    <t>Name</t>
  </si>
  <si>
    <t>Diab III</t>
  </si>
  <si>
    <t>12-Jul-2025</t>
  </si>
  <si>
    <t>AbdelMoneim Sayed AbdelMoneim Sayed Darwish</t>
  </si>
  <si>
    <t>DIAB-III ABBASEIA-KOBBAH</t>
  </si>
  <si>
    <t>22-Jun-2024</t>
  </si>
  <si>
    <t>1188</t>
  </si>
  <si>
    <t>Mahmoud Mohamed Abdelmahdy Abdullah</t>
  </si>
  <si>
    <t>DIAB-III CAIRO EAST</t>
  </si>
  <si>
    <t>1331</t>
  </si>
  <si>
    <t>Yasmin Sayed AbdelLatif Mohamed Hekal</t>
  </si>
  <si>
    <t>DIAB-III AIN SHAMS</t>
  </si>
  <si>
    <t>Guirgis Samir Azmy Iskandar</t>
  </si>
  <si>
    <t>DIAB-III HELIOPOLIS-A</t>
  </si>
  <si>
    <t>7-Sept-2024</t>
  </si>
  <si>
    <t>1268</t>
  </si>
  <si>
    <t>Mariam Makram Ragheb Soliman</t>
  </si>
  <si>
    <t>DIAB-III HELIOPOLIS-B</t>
  </si>
  <si>
    <t>DIAB-III NASR CITY</t>
  </si>
  <si>
    <t>1006</t>
  </si>
  <si>
    <t>Kholoud El-Matarawy Mohamed Aly</t>
  </si>
  <si>
    <t>DIAB-III NEW CAIRO</t>
  </si>
  <si>
    <t>Rania Helmy Lotfy Mohamed ElAsour</t>
  </si>
  <si>
    <t>DIAB-III ISMAILIA-SUIZ</t>
  </si>
  <si>
    <t>1-Feb-2025</t>
  </si>
  <si>
    <t>1439</t>
  </si>
  <si>
    <t>Peter AbdelNasser Fathy Habel</t>
  </si>
  <si>
    <t>DIAB-III DM CAIRO B</t>
  </si>
  <si>
    <t>Vacant_Shoubraelkhemah</t>
  </si>
  <si>
    <t>DIAB-III SHOBRA EL KHEMAH</t>
  </si>
  <si>
    <t>2-Nov-2025</t>
  </si>
  <si>
    <t>Eman Hamdy Shahat Esmail</t>
  </si>
  <si>
    <t>DIAB-III CAIRO WEST</t>
  </si>
  <si>
    <t>Mohamed Mostafa Mohamed Mahmoud Azzam</t>
  </si>
  <si>
    <t>DIAB-III CAIRO CENTER</t>
  </si>
  <si>
    <t>Asmaa ElBel Zanaty Hussein Aly</t>
  </si>
  <si>
    <t>DIAB-III CAIRO SOUTH</t>
  </si>
  <si>
    <t>29-Aug-2020</t>
  </si>
  <si>
    <t>230</t>
  </si>
  <si>
    <t>Nourhan Ashraf Mostafa Hassan</t>
  </si>
  <si>
    <t>DIAB-III MAADI</t>
  </si>
  <si>
    <t>964</t>
  </si>
  <si>
    <t>DIAB-III HELWAN</t>
  </si>
  <si>
    <t>Maha Magdy AbdelSalam Mahmoud Farag</t>
  </si>
  <si>
    <t>DIAB-III QALUBIA-A</t>
  </si>
  <si>
    <t>Mahmoud Lotfy Saied AbdelFatah</t>
  </si>
  <si>
    <t>DIAB-III QALUBIA-B</t>
  </si>
  <si>
    <t>Ahmed Adel Hosny Hassan</t>
  </si>
  <si>
    <t>DIAB-III DM CAIRO A</t>
  </si>
  <si>
    <t>1248</t>
  </si>
  <si>
    <t>Mariam AbdelRahman Abdel Samie Abdel Wadod</t>
  </si>
  <si>
    <t>DIAB-III SHARKIA-A</t>
  </si>
  <si>
    <t>Youssef AbdelBaset Esmail Ahmed Ammar Badran</t>
  </si>
  <si>
    <t>DIAB-III SHARKIA-B</t>
  </si>
  <si>
    <t>Anas Mohamed ElSayed Ibrahim Salem</t>
  </si>
  <si>
    <t>DIAB-III SHARKIA-C</t>
  </si>
  <si>
    <t>1047</t>
  </si>
  <si>
    <t>Alaa Aly Aly Abu El-Enein</t>
  </si>
  <si>
    <t>DIAB-III DAKAHLIA-A</t>
  </si>
  <si>
    <t>14-Mar-2024</t>
  </si>
  <si>
    <t>1117</t>
  </si>
  <si>
    <t>Reem Hassan Tolba Ibrahim</t>
  </si>
  <si>
    <t>DIAB-III DAKAHLIA-B</t>
  </si>
  <si>
    <t>Donia Mahmoud Mohamed Ahmed Mowafy</t>
  </si>
  <si>
    <t>DIAB-III DAKAHLIA-C</t>
  </si>
  <si>
    <t>194</t>
  </si>
  <si>
    <t>Menna Allah Hassouna Abbas Hassouna</t>
  </si>
  <si>
    <t>DIAB-III DOMIAT</t>
  </si>
  <si>
    <t>998</t>
  </si>
  <si>
    <t>Shereen Tarek Gouda El-Sayed</t>
  </si>
  <si>
    <t>DIAB-III P. SAID-N. SINAI</t>
  </si>
  <si>
    <t>Vacant_Delta 1</t>
  </si>
  <si>
    <t>DIAB-III DM DELTA A</t>
  </si>
  <si>
    <t>Mostafa Mahmoud Gaber ElHajjar</t>
  </si>
  <si>
    <t>DIAB-III MENOFYA-A</t>
  </si>
  <si>
    <t>Zeinab Serry AbdelSamie Ammar</t>
  </si>
  <si>
    <t>DIAB-III MENOFYA-B</t>
  </si>
  <si>
    <t>Mariam AbuElMagd Ibrahim Abdullah ElNaggar</t>
  </si>
  <si>
    <t>DIAB-III GHARBIA-B</t>
  </si>
  <si>
    <t>Vacant_Gharbia_II</t>
  </si>
  <si>
    <t>DIAB-III GHARBIA-C</t>
  </si>
  <si>
    <t>Mohamed Ahmed ElSayed Ahmed ElTaras</t>
  </si>
  <si>
    <t>DIAB-III GHARBIA-A</t>
  </si>
  <si>
    <t>Hazem Mohamed HasaBallah Esmail Ibrahim</t>
  </si>
  <si>
    <t>DIAB-III KAFR ELSHEIKH-A</t>
  </si>
  <si>
    <t>2-Nov-2023</t>
  </si>
  <si>
    <t xml:space="preserve"> 940</t>
  </si>
  <si>
    <t>Mohamed Mohamed Mohamed Hassan Salah</t>
  </si>
  <si>
    <t>DIAB-III KAFR ELSHEIKH-B</t>
  </si>
  <si>
    <t>Mohamed ElSayed Mostafa Gaber</t>
  </si>
  <si>
    <t>DIAB-III DM DELTA B</t>
  </si>
  <si>
    <t>Ereny Awny Fouad Ibrahim Beshara</t>
  </si>
  <si>
    <t>DIAB-III ALEX EAST-A</t>
  </si>
  <si>
    <t>12-Apr-2025</t>
  </si>
  <si>
    <t>1587</t>
  </si>
  <si>
    <t>Rana Mohamed Gaber AbdelHamid</t>
  </si>
  <si>
    <t>DIAB-III ALEX EAST-B</t>
  </si>
  <si>
    <t>Mohamed Hussein AbdelNaiem Ahmed AbdelNaiem</t>
  </si>
  <si>
    <t>DIAB-III ALEX WEST</t>
  </si>
  <si>
    <t>16-Aug-2025</t>
  </si>
  <si>
    <t>Ingy Mahmoud Mohamed Ahmed ElSheikh</t>
  </si>
  <si>
    <t>DIAB-III ALEX CENTER-B</t>
  </si>
  <si>
    <t>Vacant_Alexcenter_I / Alex_west_I</t>
  </si>
  <si>
    <t>DIAB-III ALEX CENTER-A</t>
  </si>
  <si>
    <t>970</t>
  </si>
  <si>
    <t>Marwa Mohamed Hussien Abdel Karim</t>
  </si>
  <si>
    <t>DIAB-II BEHIRA-A</t>
  </si>
  <si>
    <t>20-May-2023</t>
  </si>
  <si>
    <t xml:space="preserve"> 788</t>
  </si>
  <si>
    <t>Monica Ibrahim Guirgis Youssef</t>
  </si>
  <si>
    <t>DIAB-II BEHIRA-B</t>
  </si>
  <si>
    <t>Mohamed Ayman Mohamed Mahmoud AbuShosha</t>
  </si>
  <si>
    <t>DIAB-II BEHIRA-C</t>
  </si>
  <si>
    <t>188</t>
  </si>
  <si>
    <t>Karim Mohamed Nagib Mohamed El-Demerdash</t>
  </si>
  <si>
    <t>DIAB-III DM ALEX-BEHIR</t>
  </si>
  <si>
    <t>DIAB-III IMBABA</t>
  </si>
  <si>
    <t>27-May-2023</t>
  </si>
  <si>
    <t>789</t>
  </si>
  <si>
    <t>Kyrilles Latif Masoud Yassa</t>
  </si>
  <si>
    <t>DIAB-III HARAM-GIZA CENTERS</t>
  </si>
  <si>
    <t>Vacant_Guiza_III</t>
  </si>
  <si>
    <t>DIAB-III DOKKI</t>
  </si>
  <si>
    <t>1114</t>
  </si>
  <si>
    <t>Mostafa Khaled Mohamed Mohamed</t>
  </si>
  <si>
    <t>DIAB-III MOHANDSEEN</t>
  </si>
  <si>
    <t>Amin Ibrahim Mohamed Amin</t>
  </si>
  <si>
    <t>DIAB-III FAISAL</t>
  </si>
  <si>
    <t>DIAB-III OCTOBER</t>
  </si>
  <si>
    <t>Jacklyn Mamdouh Aziz Loka</t>
  </si>
  <si>
    <t>DIAB-III DM GIZA</t>
  </si>
  <si>
    <t>Kamar AbdelSamie AbdelWahed Sawy</t>
  </si>
  <si>
    <t>DIAB-III MENIA-A</t>
  </si>
  <si>
    <t>3-Aug-2025</t>
  </si>
  <si>
    <t>1754</t>
  </si>
  <si>
    <t>Manar Ehab Abbas Emam</t>
  </si>
  <si>
    <t>DIAB-III MENIA-B</t>
  </si>
  <si>
    <t>Vacant_Assiut_INewValley</t>
  </si>
  <si>
    <t>DIAB-III ASSUIT-A</t>
  </si>
  <si>
    <t>5-Aug-2023</t>
  </si>
  <si>
    <t>866</t>
  </si>
  <si>
    <t>Martha Refaat Agban Fakher</t>
  </si>
  <si>
    <t>DIAB-III ASSUIT-B</t>
  </si>
  <si>
    <t>Rana Mohamed Hamed Fahmy</t>
  </si>
  <si>
    <t>DIAB-III BANISUIF</t>
  </si>
  <si>
    <t>187</t>
  </si>
  <si>
    <t>Sandy Nabil Faiq Bashy</t>
  </si>
  <si>
    <t>DIAB-III FAYOUM</t>
  </si>
  <si>
    <t>DIAB-III DM UE B</t>
  </si>
  <si>
    <t>1764</t>
  </si>
  <si>
    <t>Katreen Safwat Shoukry AbdelShahid</t>
  </si>
  <si>
    <t>DIAB-III SOHAG I-A</t>
  </si>
  <si>
    <t>Mina Onsy Samy Mglea</t>
  </si>
  <si>
    <t>DIAB-III SOHAG I-B</t>
  </si>
  <si>
    <t>974</t>
  </si>
  <si>
    <t>Ereen Maher Botros Abdullah</t>
  </si>
  <si>
    <t>DIAB-III QENA-A</t>
  </si>
  <si>
    <t>Aya Mohamed Salah AbuElLail</t>
  </si>
  <si>
    <t>DIAB-III QENA-B</t>
  </si>
  <si>
    <t>975</t>
  </si>
  <si>
    <t>Amany Youssef Ismail Aly</t>
  </si>
  <si>
    <t>DIAB-III ASWAN</t>
  </si>
  <si>
    <t>Youstina Samy Eissa Bekhit</t>
  </si>
  <si>
    <t>DIAB-III DM UE A</t>
  </si>
  <si>
    <t>25-Jul-2020</t>
  </si>
  <si>
    <t>199</t>
  </si>
  <si>
    <t>Mahmoud Abdel Aziz El-Sayed Mohamed</t>
  </si>
  <si>
    <t>Aya Aref Hussein AbdelHalim</t>
  </si>
  <si>
    <t>Michael Adel AbdelMassih Awad</t>
  </si>
  <si>
    <t>District Manager</t>
  </si>
  <si>
    <t>Business Unit</t>
  </si>
  <si>
    <t>Vacant Upper Egypt B</t>
  </si>
  <si>
    <t>Kamal El-Din Magdy Abdel Fatah Allam</t>
  </si>
  <si>
    <t>Experience</t>
  </si>
  <si>
    <t>Probation Period</t>
  </si>
  <si>
    <t>Probation</t>
  </si>
  <si>
    <t>Non-Probation</t>
  </si>
  <si>
    <t>Employee Name</t>
  </si>
  <si>
    <t>Target Customers (Experienced)</t>
  </si>
  <si>
    <t>Target Customers Visited (Experienced)</t>
  </si>
  <si>
    <t>Fully Covered Customers (Experienced)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</si>
</sst>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yy;@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333333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rgb="FF000000"/>
      <name val="Arial"/>
      <family val="2"/>
    </font>
    <font>
      <b/>
      <sz val="11"/>
      <color theme="0"/>
      <name val="Arial"/>
      <family val="2"/>
    </font>
    <font>
      <b/>
      <sz val="11"/>
      <color rgb="FF000000"/>
      <name val="Calibri"/>
      <family val="2"/>
      <scheme val="minor"/>
    </font>
    <font>
      <b/>
      <sz val="11"/>
      <color theme="2" tint="-0.89999084444715716"/>
      <name val="Calibri"/>
      <family val="2"/>
      <scheme val="minor"/>
    </font>
    <font>
      <b/>
      <sz val="11"/>
      <color rgb="FF000000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2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7A7A7A"/>
      </patternFill>
    </fill>
    <fill>
      <patternFill patternType="solid">
        <fgColor rgb="FFDFDFDF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theme="0"/>
        <bgColor rgb="FFBDD7EE"/>
      </patternFill>
    </fill>
    <fill>
      <patternFill patternType="solid">
        <fgColor rgb="FFFFCCCC"/>
        <bgColor indexed="64"/>
      </patternFill>
    </fill>
    <fill>
      <patternFill patternType="solid">
        <fgColor theme="4" tint="0.39997558519241921"/>
        <bgColor rgb="FFA6A6A6"/>
      </patternFill>
    </fill>
    <fill>
      <patternFill patternType="solid">
        <fgColor theme="4" tint="0.39997558519241921"/>
        <bgColor rgb="FF000000"/>
      </patternFill>
    </fill>
    <fill>
      <patternFill patternType="solid">
        <fgColor theme="0" tint="-0.34998626667073579"/>
        <bgColor rgb="FFC2211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4">
    <xf numFmtId="0" fontId="0" fillId="0" borderId="0" xfId="0"/>
    <xf numFmtId="0" fontId="3" fillId="0" borderId="1" xfId="0" applyFont="1" applyBorder="1"/>
    <xf numFmtId="0" fontId="4" fillId="3" borderId="0" xfId="0" applyFont="1" applyFill="1"/>
    <xf numFmtId="0" fontId="3" fillId="0" borderId="1" xfId="0" applyFont="1" applyBorder="1" applyAlignment="1">
      <alignment horizontal="center"/>
    </xf>
    <xf numFmtId="0" fontId="6" fillId="0" borderId="1" xfId="0" applyFont="1" applyBorder="1"/>
    <xf numFmtId="0" fontId="7" fillId="0" borderId="1" xfId="0" applyFont="1" applyBorder="1"/>
    <xf numFmtId="0" fontId="8" fillId="0" borderId="1" xfId="0" applyFont="1" applyBorder="1"/>
    <xf numFmtId="0" fontId="3" fillId="0" borderId="0" xfId="0" applyFont="1"/>
    <xf numFmtId="0" fontId="5" fillId="4" borderId="0" xfId="0" applyFont="1" applyFill="1"/>
    <xf numFmtId="0" fontId="3" fillId="6" borderId="1" xfId="0" applyFont="1" applyFill="1" applyBorder="1"/>
    <xf numFmtId="0" fontId="3" fillId="6" borderId="1" xfId="0" applyFont="1" applyFill="1" applyBorder="1" applyAlignment="1">
      <alignment horizontal="center"/>
    </xf>
    <xf numFmtId="0" fontId="6" fillId="6" borderId="1" xfId="0" applyFont="1" applyFill="1" applyBorder="1"/>
    <xf numFmtId="0" fontId="3" fillId="7" borderId="1" xfId="0" applyFont="1" applyFill="1" applyBorder="1"/>
    <xf numFmtId="164" fontId="3" fillId="0" borderId="1" xfId="0" applyNumberFormat="1" applyFont="1" applyBorder="1" applyAlignment="1">
      <alignment horizontal="center"/>
    </xf>
    <xf numFmtId="0" fontId="9" fillId="0" borderId="1" xfId="0" applyFont="1" applyBorder="1"/>
    <xf numFmtId="0" fontId="6" fillId="8" borderId="1" xfId="0" applyFont="1" applyFill="1" applyBorder="1"/>
    <xf numFmtId="0" fontId="7" fillId="9" borderId="1" xfId="0" applyFont="1" applyFill="1" applyBorder="1"/>
    <xf numFmtId="164" fontId="3" fillId="6" borderId="1" xfId="0" applyNumberFormat="1" applyFont="1" applyFill="1" applyBorder="1" applyAlignment="1">
      <alignment horizontal="center"/>
    </xf>
    <xf numFmtId="0" fontId="11" fillId="10" borderId="1" xfId="0" applyFont="1" applyFill="1" applyBorder="1" applyAlignment="1">
      <alignment horizontal="left"/>
    </xf>
    <xf numFmtId="164" fontId="11" fillId="11" borderId="1" xfId="0" applyNumberFormat="1" applyFont="1" applyFill="1" applyBorder="1" applyAlignment="1">
      <alignment horizontal="center"/>
    </xf>
    <xf numFmtId="0" fontId="11" fillId="11" borderId="1" xfId="0" applyFont="1" applyFill="1" applyBorder="1" applyAlignment="1">
      <alignment horizontal="left"/>
    </xf>
    <xf numFmtId="0" fontId="12" fillId="0" borderId="1" xfId="0" applyFont="1" applyBorder="1"/>
    <xf numFmtId="0" fontId="13" fillId="0" borderId="1" xfId="0" applyFont="1" applyBorder="1"/>
    <xf numFmtId="0" fontId="11" fillId="10" borderId="1" xfId="0" applyFont="1" applyFill="1" applyBorder="1"/>
    <xf numFmtId="164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3" fillId="5" borderId="1" xfId="0" applyFont="1" applyFill="1" applyBorder="1"/>
    <xf numFmtId="0" fontId="14" fillId="5" borderId="1" xfId="0" applyFont="1" applyFill="1" applyBorder="1"/>
    <xf numFmtId="164" fontId="0" fillId="0" borderId="0" xfId="0" applyNumberFormat="1" applyAlignment="1">
      <alignment horizontal="center"/>
    </xf>
    <xf numFmtId="0" fontId="15" fillId="0" borderId="0" xfId="0" applyFont="1"/>
    <xf numFmtId="9" fontId="3" fillId="0" borderId="1" xfId="1" applyFont="1" applyBorder="1" applyAlignment="1">
      <alignment horizontal="center"/>
    </xf>
    <xf numFmtId="2" fontId="3" fillId="0" borderId="1" xfId="0" applyNumberFormat="1" applyFont="1" applyBorder="1" applyAlignment="1">
      <alignment horizontal="center"/>
    </xf>
    <xf numFmtId="9" fontId="3" fillId="6" borderId="1" xfId="1" applyFont="1" applyFill="1" applyBorder="1" applyAlignment="1">
      <alignment horizontal="center"/>
    </xf>
    <xf numFmtId="2" fontId="3" fillId="6" borderId="1" xfId="0" applyNumberFormat="1" applyFont="1" applyFill="1" applyBorder="1" applyAlignment="1">
      <alignment horizontal="center"/>
    </xf>
    <xf numFmtId="9" fontId="3" fillId="5" borderId="1" xfId="1" applyFont="1" applyFill="1" applyBorder="1" applyAlignment="1">
      <alignment horizontal="center"/>
    </xf>
    <xf numFmtId="2" fontId="3" fillId="5" borderId="1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9" fontId="0" fillId="0" borderId="0" xfId="1" applyFont="1" applyAlignment="1">
      <alignment horizontal="center"/>
    </xf>
    <xf numFmtId="2" fontId="0" fillId="0" borderId="0" xfId="0" applyNumberFormat="1" applyAlignment="1">
      <alignment horizontal="center"/>
    </xf>
    <xf numFmtId="0" fontId="16" fillId="12" borderId="1" xfId="0" applyFont="1" applyFill="1" applyBorder="1" applyAlignment="1">
      <alignment horizontal="left" vertical="center"/>
    </xf>
    <xf numFmtId="0" fontId="11" fillId="0" borderId="1" xfId="0" applyFont="1" applyBorder="1"/>
    <xf numFmtId="0" fontId="3" fillId="7" borderId="1" xfId="0" applyFont="1" applyFill="1" applyBorder="1" applyAlignment="1">
      <alignment horizontal="center"/>
    </xf>
    <xf numFmtId="0" fontId="3" fillId="9" borderId="1" xfId="0" applyFont="1" applyFill="1" applyBorder="1" applyAlignment="1">
      <alignment horizontal="center"/>
    </xf>
    <xf numFmtId="164" fontId="2" fillId="2" borderId="1" xfId="0" applyNumberFormat="1" applyFont="1" applyFill="1" applyBorder="1" applyAlignment="1">
      <alignment horizontal="center" vertical="center"/>
    </xf>
    <xf numFmtId="9" fontId="2" fillId="2" borderId="1" xfId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10" fillId="2" borderId="1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5B5B"/>
      <color rgb="FFFF6D6D"/>
      <color rgb="FFC00000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D1D13-6FAE-4324-81CD-FDC61375215D}">
  <dimension ref="A1:N67"/>
  <sheetViews>
    <sheetView tabSelected="1" zoomScale="70" zoomScaleNormal="70"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E19" sqref="E19"/>
    </sheetView>
  </sheetViews>
  <sheetFormatPr defaultRowHeight="14.5" x14ac:dyDescent="0.35"/>
  <cols>
    <col min="1" max="1" width="8.7265625" style="7"/>
    <col min="2" max="2" width="22.6328125" style="28" customWidth="1"/>
    <col min="4" max="4" width="34.1796875" customWidth="1"/>
    <col min="5" max="5" width="40.81640625" style="29" customWidth="1"/>
    <col min="6" max="6" width="11.453125" style="36" customWidth="1"/>
    <col min="7" max="7" width="16.90625" style="36" customWidth="1"/>
    <col min="8" max="8" width="16.54296875" style="37" customWidth="1"/>
    <col min="9" max="9" width="13.26953125" style="36" customWidth="1"/>
    <col min="10" max="10" width="10.26953125" style="36" customWidth="1"/>
    <col min="11" max="11" width="9.453125" style="36" customWidth="1"/>
    <col min="12" max="13" width="12.26953125" style="38" customWidth="1"/>
    <col min="14" max="14" width="12.26953125" style="37" customWidth="1"/>
  </cols>
  <sheetData>
    <row r="1" spans="1:14" ht="14.5" customHeight="1" x14ac:dyDescent="0.35">
      <c r="A1" s="43" t="s">
        <v>23</v>
      </c>
      <c r="B1" s="43" t="s">
        <v>17</v>
      </c>
      <c r="C1" s="47" t="s">
        <v>18</v>
      </c>
      <c r="D1" s="48" t="s">
        <v>24</v>
      </c>
      <c r="E1" s="49" t="s">
        <v>1</v>
      </c>
      <c r="F1" s="45" t="s">
        <v>2</v>
      </c>
      <c r="G1" s="45" t="s">
        <v>3</v>
      </c>
      <c r="H1" s="44" t="s">
        <v>4</v>
      </c>
      <c r="I1" s="45" t="s">
        <v>5</v>
      </c>
      <c r="J1" s="45" t="s">
        <v>6</v>
      </c>
      <c r="K1" s="46" t="s">
        <v>7</v>
      </c>
      <c r="L1" s="46" t="s">
        <v>8</v>
      </c>
      <c r="M1" s="46" t="s">
        <v>19</v>
      </c>
      <c r="N1" s="44" t="s">
        <v>20</v>
      </c>
    </row>
    <row r="2" spans="1:14" x14ac:dyDescent="0.35">
      <c r="A2" s="43"/>
      <c r="B2" s="43"/>
      <c r="C2" s="47"/>
      <c r="D2" s="48"/>
      <c r="E2" s="49"/>
      <c r="F2" s="45"/>
      <c r="G2" s="45"/>
      <c r="H2" s="44"/>
      <c r="I2" s="45"/>
      <c r="J2" s="45"/>
      <c r="K2" s="46"/>
      <c r="L2" s="46"/>
      <c r="M2" s="46"/>
      <c r="N2" s="44"/>
    </row>
    <row r="3" spans="1:14" x14ac:dyDescent="0.35">
      <c r="A3" s="1" t="s">
        <v>25</v>
      </c>
      <c r="B3" s="13" t="s">
        <v>26</v>
      </c>
      <c r="C3" s="3">
        <v>1707</v>
      </c>
      <c r="D3" s="1" t="s">
        <v>27</v>
      </c>
      <c r="E3" s="14" t="s">
        <v>28</v>
      </c>
      <c r="F3" s="3">
        <v>79</v>
      </c>
      <c r="G3" s="3">
        <v>76</v>
      </c>
      <c r="H3" s="30">
        <v>0.96202531645569622</v>
      </c>
      <c r="I3" s="3">
        <v>3</v>
      </c>
      <c r="J3" s="3">
        <v>76</v>
      </c>
      <c r="K3" s="3">
        <v>169</v>
      </c>
      <c r="L3" s="31">
        <v>2.2236842105263159</v>
      </c>
      <c r="M3" s="3">
        <v>63</v>
      </c>
      <c r="N3" s="30">
        <v>0.79746835443037978</v>
      </c>
    </row>
    <row r="4" spans="1:14" x14ac:dyDescent="0.35">
      <c r="A4" s="1" t="s">
        <v>25</v>
      </c>
      <c r="B4" s="13" t="s">
        <v>29</v>
      </c>
      <c r="C4" s="3" t="s">
        <v>30</v>
      </c>
      <c r="D4" s="1" t="s">
        <v>31</v>
      </c>
      <c r="E4" s="14" t="s">
        <v>32</v>
      </c>
      <c r="F4" s="3">
        <v>71</v>
      </c>
      <c r="G4" s="3">
        <v>66</v>
      </c>
      <c r="H4" s="30">
        <v>0.92957746478873238</v>
      </c>
      <c r="I4" s="3">
        <v>5</v>
      </c>
      <c r="J4" s="3">
        <v>71</v>
      </c>
      <c r="K4" s="3">
        <v>161</v>
      </c>
      <c r="L4" s="31">
        <v>2.267605633802817</v>
      </c>
      <c r="M4" s="3">
        <v>40</v>
      </c>
      <c r="N4" s="30">
        <v>0.56338028169014087</v>
      </c>
    </row>
    <row r="5" spans="1:14" x14ac:dyDescent="0.35">
      <c r="A5" s="1" t="s">
        <v>25</v>
      </c>
      <c r="B5" s="13" t="s">
        <v>15</v>
      </c>
      <c r="C5" s="3" t="s">
        <v>33</v>
      </c>
      <c r="D5" s="1" t="s">
        <v>34</v>
      </c>
      <c r="E5" s="14" t="s">
        <v>35</v>
      </c>
      <c r="F5" s="3">
        <v>72</v>
      </c>
      <c r="G5" s="3">
        <v>68</v>
      </c>
      <c r="H5" s="30">
        <v>0.94444444444444442</v>
      </c>
      <c r="I5" s="3">
        <v>4</v>
      </c>
      <c r="J5" s="3">
        <v>68</v>
      </c>
      <c r="K5" s="3">
        <v>158</v>
      </c>
      <c r="L5" s="31">
        <v>2.3235294117647061</v>
      </c>
      <c r="M5" s="3">
        <v>60</v>
      </c>
      <c r="N5" s="30">
        <v>0.83333333333333337</v>
      </c>
    </row>
    <row r="6" spans="1:14" x14ac:dyDescent="0.35">
      <c r="A6" s="1" t="s">
        <v>25</v>
      </c>
      <c r="B6" s="13">
        <v>46025</v>
      </c>
      <c r="C6" s="3">
        <v>2008</v>
      </c>
      <c r="D6" s="5" t="s">
        <v>36</v>
      </c>
      <c r="E6" s="14" t="s">
        <v>37</v>
      </c>
      <c r="F6" s="3">
        <v>74</v>
      </c>
      <c r="G6" s="3">
        <v>65</v>
      </c>
      <c r="H6" s="30">
        <v>0.8783783783783784</v>
      </c>
      <c r="I6" s="3">
        <v>9</v>
      </c>
      <c r="J6" s="3">
        <v>74</v>
      </c>
      <c r="K6" s="3">
        <v>134</v>
      </c>
      <c r="L6" s="31">
        <v>1.8108108108108107</v>
      </c>
      <c r="M6" s="3">
        <v>27</v>
      </c>
      <c r="N6" s="30">
        <v>0.36486486486486486</v>
      </c>
    </row>
    <row r="7" spans="1:14" x14ac:dyDescent="0.35">
      <c r="A7" s="1" t="s">
        <v>25</v>
      </c>
      <c r="B7" s="13" t="s">
        <v>38</v>
      </c>
      <c r="C7" s="3" t="s">
        <v>39</v>
      </c>
      <c r="D7" s="1" t="s">
        <v>40</v>
      </c>
      <c r="E7" s="14" t="s">
        <v>41</v>
      </c>
      <c r="F7" s="3">
        <v>80</v>
      </c>
      <c r="G7" s="3">
        <v>77</v>
      </c>
      <c r="H7" s="30">
        <v>0.96250000000000002</v>
      </c>
      <c r="I7" s="3">
        <v>3</v>
      </c>
      <c r="J7" s="3">
        <v>77</v>
      </c>
      <c r="K7" s="3">
        <v>154</v>
      </c>
      <c r="L7" s="31">
        <v>2</v>
      </c>
      <c r="M7" s="3">
        <v>44</v>
      </c>
      <c r="N7" s="30">
        <v>0.55000000000000004</v>
      </c>
    </row>
    <row r="8" spans="1:14" x14ac:dyDescent="0.35">
      <c r="A8" s="1" t="s">
        <v>25</v>
      </c>
      <c r="B8" s="13"/>
      <c r="C8" s="3"/>
      <c r="D8" s="15" t="s">
        <v>11</v>
      </c>
      <c r="E8" s="14" t="s">
        <v>42</v>
      </c>
      <c r="F8" s="3">
        <v>0</v>
      </c>
      <c r="G8" s="3">
        <v>0</v>
      </c>
      <c r="H8" s="30">
        <v>0</v>
      </c>
      <c r="I8" s="3">
        <v>0</v>
      </c>
      <c r="J8" s="3">
        <v>0</v>
      </c>
      <c r="K8" s="3">
        <v>0</v>
      </c>
      <c r="L8" s="31">
        <v>0</v>
      </c>
      <c r="M8" s="3">
        <v>0</v>
      </c>
      <c r="N8" s="30">
        <v>0</v>
      </c>
    </row>
    <row r="9" spans="1:14" x14ac:dyDescent="0.35">
      <c r="A9" s="1" t="s">
        <v>25</v>
      </c>
      <c r="B9" s="13" t="s">
        <v>12</v>
      </c>
      <c r="C9" s="3" t="s">
        <v>43</v>
      </c>
      <c r="D9" s="1" t="s">
        <v>44</v>
      </c>
      <c r="E9" s="14" t="s">
        <v>45</v>
      </c>
      <c r="F9" s="3">
        <v>78</v>
      </c>
      <c r="G9" s="3">
        <v>71</v>
      </c>
      <c r="H9" s="30">
        <v>0.91025641025641024</v>
      </c>
      <c r="I9" s="3">
        <v>7</v>
      </c>
      <c r="J9" s="3">
        <v>73</v>
      </c>
      <c r="K9" s="3">
        <v>154</v>
      </c>
      <c r="L9" s="31">
        <v>2.1095890410958904</v>
      </c>
      <c r="M9" s="3">
        <v>48</v>
      </c>
      <c r="N9" s="30">
        <v>0.61538461538461542</v>
      </c>
    </row>
    <row r="10" spans="1:14" x14ac:dyDescent="0.35">
      <c r="A10" s="1" t="s">
        <v>25</v>
      </c>
      <c r="B10" s="13">
        <v>46032</v>
      </c>
      <c r="C10" s="3">
        <v>2007</v>
      </c>
      <c r="D10" s="16" t="s">
        <v>46</v>
      </c>
      <c r="E10" s="14" t="s">
        <v>47</v>
      </c>
      <c r="F10" s="3">
        <v>89</v>
      </c>
      <c r="G10" s="3">
        <v>53</v>
      </c>
      <c r="H10" s="30">
        <v>0.5955056179775281</v>
      </c>
      <c r="I10" s="3">
        <v>36</v>
      </c>
      <c r="J10" s="3">
        <v>53</v>
      </c>
      <c r="K10" s="3">
        <v>66</v>
      </c>
      <c r="L10" s="31">
        <v>1.2452830188679245</v>
      </c>
      <c r="M10" s="3">
        <v>8</v>
      </c>
      <c r="N10" s="30">
        <v>8.98876404494382E-2</v>
      </c>
    </row>
    <row r="11" spans="1:14" x14ac:dyDescent="0.35">
      <c r="A11" s="1" t="s">
        <v>25</v>
      </c>
      <c r="B11" s="17" t="s">
        <v>48</v>
      </c>
      <c r="C11" s="10" t="s">
        <v>49</v>
      </c>
      <c r="D11" s="9" t="s">
        <v>50</v>
      </c>
      <c r="E11" s="18" t="s">
        <v>51</v>
      </c>
      <c r="F11" s="10">
        <v>380</v>
      </c>
      <c r="G11" s="10">
        <v>358</v>
      </c>
      <c r="H11" s="32">
        <v>0.94210526315789478</v>
      </c>
      <c r="I11" s="10">
        <v>22</v>
      </c>
      <c r="J11" s="10">
        <v>365</v>
      </c>
      <c r="K11" s="10">
        <v>796</v>
      </c>
      <c r="L11" s="33">
        <v>2.1848816594379459</v>
      </c>
      <c r="M11" s="10">
        <v>255</v>
      </c>
      <c r="N11" s="32">
        <v>0.67105263157894735</v>
      </c>
    </row>
    <row r="12" spans="1:14" x14ac:dyDescent="0.35">
      <c r="A12" s="1" t="s">
        <v>25</v>
      </c>
      <c r="B12" s="13"/>
      <c r="C12" s="3"/>
      <c r="D12" s="4" t="s">
        <v>52</v>
      </c>
      <c r="E12" s="14" t="s">
        <v>53</v>
      </c>
      <c r="F12" s="3">
        <v>0</v>
      </c>
      <c r="G12" s="3">
        <v>0</v>
      </c>
      <c r="H12" s="30">
        <v>0</v>
      </c>
      <c r="I12" s="3">
        <v>0</v>
      </c>
      <c r="J12" s="3">
        <v>0</v>
      </c>
      <c r="K12" s="3">
        <v>0</v>
      </c>
      <c r="L12" s="31">
        <v>0</v>
      </c>
      <c r="M12" s="3">
        <v>0</v>
      </c>
      <c r="N12" s="30">
        <v>0</v>
      </c>
    </row>
    <row r="13" spans="1:14" x14ac:dyDescent="0.35">
      <c r="A13" s="1" t="s">
        <v>25</v>
      </c>
      <c r="B13" s="13" t="s">
        <v>54</v>
      </c>
      <c r="C13" s="3">
        <v>1839</v>
      </c>
      <c r="D13" s="1" t="s">
        <v>55</v>
      </c>
      <c r="E13" s="14" t="s">
        <v>56</v>
      </c>
      <c r="F13" s="3">
        <v>73</v>
      </c>
      <c r="G13" s="3">
        <v>71</v>
      </c>
      <c r="H13" s="30">
        <v>0.9726027397260274</v>
      </c>
      <c r="I13" s="3">
        <v>2</v>
      </c>
      <c r="J13" s="3">
        <v>71</v>
      </c>
      <c r="K13" s="3">
        <v>144</v>
      </c>
      <c r="L13" s="31">
        <v>2.028169014084507</v>
      </c>
      <c r="M13" s="3">
        <v>39</v>
      </c>
      <c r="N13" s="30">
        <v>0.53424657534246578</v>
      </c>
    </row>
    <row r="14" spans="1:14" x14ac:dyDescent="0.35">
      <c r="A14" s="1" t="s">
        <v>25</v>
      </c>
      <c r="B14" s="13">
        <v>46023</v>
      </c>
      <c r="C14" s="3">
        <v>2018</v>
      </c>
      <c r="D14" s="5" t="s">
        <v>57</v>
      </c>
      <c r="E14" s="14" t="s">
        <v>58</v>
      </c>
      <c r="F14" s="3">
        <v>74</v>
      </c>
      <c r="G14" s="3">
        <v>63</v>
      </c>
      <c r="H14" s="30">
        <v>0.85135135135135132</v>
      </c>
      <c r="I14" s="3">
        <v>11</v>
      </c>
      <c r="J14" s="3">
        <v>63</v>
      </c>
      <c r="K14" s="3">
        <v>120</v>
      </c>
      <c r="L14" s="31">
        <v>1.9047619047619047</v>
      </c>
      <c r="M14" s="3">
        <v>40</v>
      </c>
      <c r="N14" s="30">
        <v>0.54054054054054057</v>
      </c>
    </row>
    <row r="15" spans="1:14" x14ac:dyDescent="0.35">
      <c r="A15" s="1" t="s">
        <v>25</v>
      </c>
      <c r="B15" s="13">
        <v>46032</v>
      </c>
      <c r="C15" s="3">
        <v>2074</v>
      </c>
      <c r="D15" s="5" t="s">
        <v>59</v>
      </c>
      <c r="E15" s="14" t="s">
        <v>60</v>
      </c>
      <c r="F15" s="3">
        <v>95</v>
      </c>
      <c r="G15" s="3">
        <v>78</v>
      </c>
      <c r="H15" s="30">
        <v>0.82105263157894737</v>
      </c>
      <c r="I15" s="3">
        <v>17</v>
      </c>
      <c r="J15" s="3">
        <v>78</v>
      </c>
      <c r="K15" s="3">
        <v>131</v>
      </c>
      <c r="L15" s="31">
        <v>1.6794871794871795</v>
      </c>
      <c r="M15" s="3">
        <v>24</v>
      </c>
      <c r="N15" s="30">
        <v>0.25263157894736843</v>
      </c>
    </row>
    <row r="16" spans="1:14" x14ac:dyDescent="0.35">
      <c r="A16" s="1" t="s">
        <v>25</v>
      </c>
      <c r="B16" s="13" t="s">
        <v>61</v>
      </c>
      <c r="C16" s="3" t="s">
        <v>62</v>
      </c>
      <c r="D16" s="1" t="s">
        <v>63</v>
      </c>
      <c r="E16" s="14" t="s">
        <v>64</v>
      </c>
      <c r="F16" s="3">
        <v>58</v>
      </c>
      <c r="G16" s="3">
        <v>0</v>
      </c>
      <c r="H16" s="30">
        <v>0</v>
      </c>
      <c r="I16" s="3">
        <v>58</v>
      </c>
      <c r="J16" s="3">
        <v>0</v>
      </c>
      <c r="K16" s="3">
        <v>0</v>
      </c>
      <c r="L16" s="31">
        <v>0</v>
      </c>
      <c r="M16" s="3">
        <v>0</v>
      </c>
      <c r="N16" s="30">
        <v>0</v>
      </c>
    </row>
    <row r="17" spans="1:14" x14ac:dyDescent="0.35">
      <c r="A17" s="1" t="s">
        <v>25</v>
      </c>
      <c r="B17" s="13" t="s">
        <v>12</v>
      </c>
      <c r="C17" s="3" t="s">
        <v>65</v>
      </c>
      <c r="D17" s="1" t="s">
        <v>0</v>
      </c>
      <c r="E17" s="14" t="s">
        <v>66</v>
      </c>
      <c r="F17" s="3">
        <v>79</v>
      </c>
      <c r="G17" s="3">
        <v>69</v>
      </c>
      <c r="H17" s="30">
        <v>0.87341772151898733</v>
      </c>
      <c r="I17" s="3">
        <v>10</v>
      </c>
      <c r="J17" s="3">
        <v>69</v>
      </c>
      <c r="K17" s="3">
        <v>127</v>
      </c>
      <c r="L17" s="31">
        <v>1.8405797101449275</v>
      </c>
      <c r="M17" s="3">
        <v>32</v>
      </c>
      <c r="N17" s="30">
        <v>0.4050632911392405</v>
      </c>
    </row>
    <row r="18" spans="1:14" x14ac:dyDescent="0.35">
      <c r="A18" s="1" t="s">
        <v>25</v>
      </c>
      <c r="B18" s="13">
        <v>46033</v>
      </c>
      <c r="C18" s="3">
        <v>2075</v>
      </c>
      <c r="D18" s="5" t="s">
        <v>67</v>
      </c>
      <c r="E18" s="14" t="s">
        <v>68</v>
      </c>
      <c r="F18" s="3">
        <v>77</v>
      </c>
      <c r="G18" s="3">
        <v>74</v>
      </c>
      <c r="H18" s="30">
        <v>0.96103896103896103</v>
      </c>
      <c r="I18" s="3">
        <v>3</v>
      </c>
      <c r="J18" s="3">
        <v>75</v>
      </c>
      <c r="K18" s="3">
        <v>164</v>
      </c>
      <c r="L18" s="31">
        <v>2.1866666666666665</v>
      </c>
      <c r="M18" s="3">
        <v>43</v>
      </c>
      <c r="N18" s="30">
        <v>0.55844155844155841</v>
      </c>
    </row>
    <row r="19" spans="1:14" x14ac:dyDescent="0.35">
      <c r="A19" s="1" t="s">
        <v>25</v>
      </c>
      <c r="B19" s="13">
        <v>46023</v>
      </c>
      <c r="C19" s="3">
        <v>2019</v>
      </c>
      <c r="D19" s="5" t="s">
        <v>69</v>
      </c>
      <c r="E19" s="14" t="s">
        <v>70</v>
      </c>
      <c r="F19" s="3">
        <v>82</v>
      </c>
      <c r="G19" s="3">
        <v>76</v>
      </c>
      <c r="H19" s="30">
        <v>0.92682926829268297</v>
      </c>
      <c r="I19" s="3">
        <v>6</v>
      </c>
      <c r="J19" s="3">
        <v>77</v>
      </c>
      <c r="K19" s="3">
        <v>147</v>
      </c>
      <c r="L19" s="31">
        <v>1.9090909090909092</v>
      </c>
      <c r="M19" s="3">
        <v>42</v>
      </c>
      <c r="N19" s="30">
        <v>0.51219512195121952</v>
      </c>
    </row>
    <row r="20" spans="1:14" x14ac:dyDescent="0.35">
      <c r="A20" s="1" t="s">
        <v>25</v>
      </c>
      <c r="B20" s="19">
        <v>46023</v>
      </c>
      <c r="C20" s="20">
        <v>1902</v>
      </c>
      <c r="D20" s="20" t="s">
        <v>71</v>
      </c>
      <c r="E20" s="18" t="s">
        <v>72</v>
      </c>
      <c r="F20" s="10">
        <v>210</v>
      </c>
      <c r="G20" s="10">
        <v>140</v>
      </c>
      <c r="H20" s="32">
        <v>0.66666666666666663</v>
      </c>
      <c r="I20" s="10">
        <v>70</v>
      </c>
      <c r="J20" s="10">
        <v>140</v>
      </c>
      <c r="K20" s="10">
        <v>271</v>
      </c>
      <c r="L20" s="33">
        <v>1.2895829080764782</v>
      </c>
      <c r="M20" s="10">
        <v>71</v>
      </c>
      <c r="N20" s="32">
        <v>0.33809523809523812</v>
      </c>
    </row>
    <row r="21" spans="1:14" x14ac:dyDescent="0.35">
      <c r="A21" s="1" t="s">
        <v>25</v>
      </c>
      <c r="B21" s="13" t="s">
        <v>16</v>
      </c>
      <c r="C21" s="3" t="s">
        <v>73</v>
      </c>
      <c r="D21" s="6" t="s">
        <v>74</v>
      </c>
      <c r="E21" s="14" t="s">
        <v>75</v>
      </c>
      <c r="F21" s="3">
        <v>102</v>
      </c>
      <c r="G21" s="3">
        <v>93</v>
      </c>
      <c r="H21" s="30">
        <v>0.91176470588235292</v>
      </c>
      <c r="I21" s="3">
        <v>9</v>
      </c>
      <c r="J21" s="3">
        <v>93</v>
      </c>
      <c r="K21" s="3">
        <v>163</v>
      </c>
      <c r="L21" s="31">
        <v>1.7526881720430108</v>
      </c>
      <c r="M21" s="3">
        <v>57</v>
      </c>
      <c r="N21" s="30">
        <v>0.55882352941176472</v>
      </c>
    </row>
    <row r="22" spans="1:14" x14ac:dyDescent="0.35">
      <c r="A22" s="1" t="s">
        <v>25</v>
      </c>
      <c r="B22" s="13">
        <v>46023</v>
      </c>
      <c r="C22" s="3">
        <v>2020</v>
      </c>
      <c r="D22" s="5" t="s">
        <v>76</v>
      </c>
      <c r="E22" s="14" t="s">
        <v>77</v>
      </c>
      <c r="F22" s="3">
        <v>95</v>
      </c>
      <c r="G22" s="3">
        <v>75</v>
      </c>
      <c r="H22" s="30">
        <v>0.78947368421052633</v>
      </c>
      <c r="I22" s="3">
        <v>20</v>
      </c>
      <c r="J22" s="3">
        <v>83</v>
      </c>
      <c r="K22" s="3">
        <v>156</v>
      </c>
      <c r="L22" s="31">
        <v>1.8795180722891567</v>
      </c>
      <c r="M22" s="3">
        <v>46</v>
      </c>
      <c r="N22" s="30">
        <v>0.48421052631578948</v>
      </c>
    </row>
    <row r="23" spans="1:14" x14ac:dyDescent="0.35">
      <c r="A23" s="1" t="s">
        <v>25</v>
      </c>
      <c r="B23" s="13">
        <v>46032</v>
      </c>
      <c r="C23" s="3">
        <v>2039</v>
      </c>
      <c r="D23" s="5" t="s">
        <v>78</v>
      </c>
      <c r="E23" s="14" t="s">
        <v>79</v>
      </c>
      <c r="F23" s="3">
        <v>83</v>
      </c>
      <c r="G23" s="3">
        <v>66</v>
      </c>
      <c r="H23" s="30">
        <v>0.79518072289156627</v>
      </c>
      <c r="I23" s="3">
        <v>17</v>
      </c>
      <c r="J23" s="3">
        <v>82</v>
      </c>
      <c r="K23" s="3">
        <v>131</v>
      </c>
      <c r="L23" s="31">
        <v>1.5975609756097562</v>
      </c>
      <c r="M23" s="3">
        <v>31</v>
      </c>
      <c r="N23" s="30">
        <v>0.37349397590361444</v>
      </c>
    </row>
    <row r="24" spans="1:14" x14ac:dyDescent="0.35">
      <c r="A24" s="1" t="s">
        <v>25</v>
      </c>
      <c r="B24" s="13" t="s">
        <v>12</v>
      </c>
      <c r="C24" s="3" t="s">
        <v>80</v>
      </c>
      <c r="D24" s="1" t="s">
        <v>81</v>
      </c>
      <c r="E24" s="14" t="s">
        <v>82</v>
      </c>
      <c r="F24" s="3">
        <v>87</v>
      </c>
      <c r="G24" s="3">
        <v>86</v>
      </c>
      <c r="H24" s="30">
        <v>0.9885057471264368</v>
      </c>
      <c r="I24" s="3">
        <v>1</v>
      </c>
      <c r="J24" s="3">
        <v>87</v>
      </c>
      <c r="K24" s="3">
        <v>158</v>
      </c>
      <c r="L24" s="31">
        <v>1.8160919540229885</v>
      </c>
      <c r="M24" s="3">
        <v>56</v>
      </c>
      <c r="N24" s="30">
        <v>0.64367816091954022</v>
      </c>
    </row>
    <row r="25" spans="1:14" x14ac:dyDescent="0.35">
      <c r="A25" s="1" t="s">
        <v>25</v>
      </c>
      <c r="B25" s="13" t="s">
        <v>83</v>
      </c>
      <c r="C25" s="3" t="s">
        <v>84</v>
      </c>
      <c r="D25" s="1" t="s">
        <v>85</v>
      </c>
      <c r="E25" s="14" t="s">
        <v>86</v>
      </c>
      <c r="F25" s="3">
        <v>83</v>
      </c>
      <c r="G25" s="3">
        <v>75</v>
      </c>
      <c r="H25" s="30">
        <v>0.90361445783132532</v>
      </c>
      <c r="I25" s="3">
        <v>8</v>
      </c>
      <c r="J25" s="3">
        <v>75</v>
      </c>
      <c r="K25" s="3">
        <v>123</v>
      </c>
      <c r="L25" s="31">
        <v>1.64</v>
      </c>
      <c r="M25" s="3">
        <v>55</v>
      </c>
      <c r="N25" s="30">
        <v>0.66265060240963858</v>
      </c>
    </row>
    <row r="26" spans="1:14" x14ac:dyDescent="0.35">
      <c r="A26" s="1" t="s">
        <v>25</v>
      </c>
      <c r="B26" s="13">
        <v>46023</v>
      </c>
      <c r="C26" s="3">
        <v>2021</v>
      </c>
      <c r="D26" s="5" t="s">
        <v>87</v>
      </c>
      <c r="E26" s="14" t="s">
        <v>88</v>
      </c>
      <c r="F26" s="3">
        <v>76</v>
      </c>
      <c r="G26" s="3">
        <v>76</v>
      </c>
      <c r="H26" s="30">
        <v>1</v>
      </c>
      <c r="I26" s="3">
        <v>0</v>
      </c>
      <c r="J26" s="3">
        <v>76</v>
      </c>
      <c r="K26" s="3">
        <v>169</v>
      </c>
      <c r="L26" s="31">
        <v>2.2236842105263159</v>
      </c>
      <c r="M26" s="3">
        <v>69</v>
      </c>
      <c r="N26" s="30">
        <v>0.90789473684210531</v>
      </c>
    </row>
    <row r="27" spans="1:14" x14ac:dyDescent="0.35">
      <c r="A27" s="1" t="s">
        <v>25</v>
      </c>
      <c r="B27" s="13" t="s">
        <v>14</v>
      </c>
      <c r="C27" s="3" t="s">
        <v>89</v>
      </c>
      <c r="D27" s="1" t="s">
        <v>90</v>
      </c>
      <c r="E27" s="14" t="s">
        <v>91</v>
      </c>
      <c r="F27" s="3">
        <v>77</v>
      </c>
      <c r="G27" s="3">
        <v>73</v>
      </c>
      <c r="H27" s="30">
        <v>0.94805194805194803</v>
      </c>
      <c r="I27" s="3">
        <v>4</v>
      </c>
      <c r="J27" s="3">
        <v>73</v>
      </c>
      <c r="K27" s="3">
        <v>163</v>
      </c>
      <c r="L27" s="31">
        <v>2.2328767123287672</v>
      </c>
      <c r="M27" s="3">
        <v>27</v>
      </c>
      <c r="N27" s="30">
        <v>0.35064935064935066</v>
      </c>
    </row>
    <row r="28" spans="1:14" x14ac:dyDescent="0.35">
      <c r="A28" s="1" t="s">
        <v>25</v>
      </c>
      <c r="B28" s="13" t="s">
        <v>12</v>
      </c>
      <c r="C28" s="3" t="s">
        <v>92</v>
      </c>
      <c r="D28" s="1" t="s">
        <v>93</v>
      </c>
      <c r="E28" s="14" t="s">
        <v>94</v>
      </c>
      <c r="F28" s="3">
        <v>66</v>
      </c>
      <c r="G28" s="3">
        <v>61</v>
      </c>
      <c r="H28" s="30">
        <v>0.9242424242424242</v>
      </c>
      <c r="I28" s="3">
        <v>5</v>
      </c>
      <c r="J28" s="3">
        <v>62</v>
      </c>
      <c r="K28" s="3">
        <v>150</v>
      </c>
      <c r="L28" s="31">
        <v>2.4193548387096775</v>
      </c>
      <c r="M28" s="3">
        <v>19</v>
      </c>
      <c r="N28" s="30">
        <v>0.2878787878787879</v>
      </c>
    </row>
    <row r="29" spans="1:14" x14ac:dyDescent="0.35">
      <c r="A29" s="1" t="s">
        <v>25</v>
      </c>
      <c r="B29" s="17"/>
      <c r="C29" s="10"/>
      <c r="D29" s="11" t="s">
        <v>95</v>
      </c>
      <c r="E29" s="18" t="s">
        <v>96</v>
      </c>
      <c r="F29" s="10">
        <v>415</v>
      </c>
      <c r="G29" s="10">
        <v>388</v>
      </c>
      <c r="H29" s="32">
        <v>0.93493975903614457</v>
      </c>
      <c r="I29" s="10">
        <v>27</v>
      </c>
      <c r="J29" s="10">
        <v>390</v>
      </c>
      <c r="K29" s="10">
        <v>757</v>
      </c>
      <c r="L29" s="33">
        <v>1.9722023354208891</v>
      </c>
      <c r="M29" s="10">
        <v>214</v>
      </c>
      <c r="N29" s="32">
        <v>0.51566265060240968</v>
      </c>
    </row>
    <row r="30" spans="1:14" x14ac:dyDescent="0.35">
      <c r="A30" s="1" t="s">
        <v>25</v>
      </c>
      <c r="B30" s="13">
        <v>46023</v>
      </c>
      <c r="C30" s="3">
        <v>1992</v>
      </c>
      <c r="D30" s="5" t="s">
        <v>97</v>
      </c>
      <c r="E30" s="14" t="s">
        <v>98</v>
      </c>
      <c r="F30" s="3">
        <v>78</v>
      </c>
      <c r="G30" s="3">
        <v>68</v>
      </c>
      <c r="H30" s="30">
        <v>0.87179487179487181</v>
      </c>
      <c r="I30" s="3">
        <v>10</v>
      </c>
      <c r="J30" s="3">
        <v>81</v>
      </c>
      <c r="K30" s="3">
        <v>162</v>
      </c>
      <c r="L30" s="31">
        <v>2</v>
      </c>
      <c r="M30" s="3">
        <v>38</v>
      </c>
      <c r="N30" s="30">
        <v>0.48717948717948717</v>
      </c>
    </row>
    <row r="31" spans="1:14" x14ac:dyDescent="0.35">
      <c r="A31" s="1" t="s">
        <v>25</v>
      </c>
      <c r="B31" s="13">
        <v>46023</v>
      </c>
      <c r="C31" s="3">
        <v>1995</v>
      </c>
      <c r="D31" s="5" t="s">
        <v>99</v>
      </c>
      <c r="E31" s="14" t="s">
        <v>100</v>
      </c>
      <c r="F31" s="3">
        <v>72</v>
      </c>
      <c r="G31" s="3">
        <v>66</v>
      </c>
      <c r="H31" s="30">
        <v>0.91666666666666663</v>
      </c>
      <c r="I31" s="3">
        <v>6</v>
      </c>
      <c r="J31" s="3">
        <v>78</v>
      </c>
      <c r="K31" s="3">
        <v>155</v>
      </c>
      <c r="L31" s="31">
        <v>1.9871794871794872</v>
      </c>
      <c r="M31" s="3">
        <v>48</v>
      </c>
      <c r="N31" s="30">
        <v>0.66666666666666663</v>
      </c>
    </row>
    <row r="32" spans="1:14" x14ac:dyDescent="0.35">
      <c r="A32" s="1" t="s">
        <v>25</v>
      </c>
      <c r="B32" s="13">
        <v>46023</v>
      </c>
      <c r="C32" s="3">
        <v>1994</v>
      </c>
      <c r="D32" s="5" t="s">
        <v>101</v>
      </c>
      <c r="E32" s="14" t="s">
        <v>102</v>
      </c>
      <c r="F32" s="3">
        <v>96</v>
      </c>
      <c r="G32" s="3">
        <v>69</v>
      </c>
      <c r="H32" s="30">
        <v>0.71875</v>
      </c>
      <c r="I32" s="3">
        <v>27</v>
      </c>
      <c r="J32" s="3">
        <v>75</v>
      </c>
      <c r="K32" s="3">
        <v>139</v>
      </c>
      <c r="L32" s="31">
        <v>1.8533333333333333</v>
      </c>
      <c r="M32" s="3">
        <v>38</v>
      </c>
      <c r="N32" s="30">
        <v>0.39583333333333331</v>
      </c>
    </row>
    <row r="33" spans="1:14" x14ac:dyDescent="0.35">
      <c r="A33" s="1" t="s">
        <v>25</v>
      </c>
      <c r="B33" s="13"/>
      <c r="C33" s="3"/>
      <c r="D33" s="15" t="s">
        <v>103</v>
      </c>
      <c r="E33" s="14" t="s">
        <v>104</v>
      </c>
      <c r="F33" s="3">
        <v>0</v>
      </c>
      <c r="G33" s="3">
        <v>0</v>
      </c>
      <c r="H33" s="30">
        <v>0</v>
      </c>
      <c r="I33" s="3">
        <v>0</v>
      </c>
      <c r="J33" s="3">
        <v>0</v>
      </c>
      <c r="K33" s="3">
        <v>0</v>
      </c>
      <c r="L33" s="31">
        <v>0</v>
      </c>
      <c r="M33" s="3">
        <v>0</v>
      </c>
      <c r="N33" s="30">
        <v>0</v>
      </c>
    </row>
    <row r="34" spans="1:14" x14ac:dyDescent="0.35">
      <c r="A34" s="1" t="s">
        <v>25</v>
      </c>
      <c r="B34" s="13">
        <v>46023</v>
      </c>
      <c r="C34" s="3">
        <v>1993</v>
      </c>
      <c r="D34" s="5" t="s">
        <v>105</v>
      </c>
      <c r="E34" s="14" t="s">
        <v>106</v>
      </c>
      <c r="F34" s="3">
        <v>90</v>
      </c>
      <c r="G34" s="3">
        <v>53</v>
      </c>
      <c r="H34" s="30">
        <v>0.58888888888888891</v>
      </c>
      <c r="I34" s="3">
        <v>37</v>
      </c>
      <c r="J34" s="3">
        <v>86</v>
      </c>
      <c r="K34" s="3">
        <v>141</v>
      </c>
      <c r="L34" s="31">
        <v>1.6395348837209303</v>
      </c>
      <c r="M34" s="3">
        <v>20</v>
      </c>
      <c r="N34" s="30">
        <v>0.22222222222222221</v>
      </c>
    </row>
    <row r="35" spans="1:14" x14ac:dyDescent="0.35">
      <c r="A35" s="1" t="s">
        <v>25</v>
      </c>
      <c r="B35" s="13">
        <v>46054</v>
      </c>
      <c r="C35" s="3">
        <v>2133</v>
      </c>
      <c r="D35" s="5" t="s">
        <v>107</v>
      </c>
      <c r="E35" s="14" t="s">
        <v>108</v>
      </c>
      <c r="F35" s="3">
        <v>71</v>
      </c>
      <c r="G35" s="3">
        <v>31</v>
      </c>
      <c r="H35" s="30">
        <v>0.43661971830985913</v>
      </c>
      <c r="I35" s="3">
        <v>40</v>
      </c>
      <c r="J35" s="3">
        <v>36</v>
      </c>
      <c r="K35" s="3">
        <v>40</v>
      </c>
      <c r="L35" s="31">
        <v>1.1111111111111112</v>
      </c>
      <c r="M35" s="3">
        <v>6</v>
      </c>
      <c r="N35" s="30">
        <v>8.4507042253521125E-2</v>
      </c>
    </row>
    <row r="36" spans="1:14" x14ac:dyDescent="0.35">
      <c r="A36" s="1" t="s">
        <v>25</v>
      </c>
      <c r="B36" s="13" t="s">
        <v>109</v>
      </c>
      <c r="C36" s="3" t="s">
        <v>110</v>
      </c>
      <c r="D36" s="1" t="s">
        <v>111</v>
      </c>
      <c r="E36" s="14" t="s">
        <v>112</v>
      </c>
      <c r="F36" s="3">
        <v>79</v>
      </c>
      <c r="G36" s="3">
        <v>70</v>
      </c>
      <c r="H36" s="30">
        <v>0.88607594936708856</v>
      </c>
      <c r="I36" s="3">
        <v>9</v>
      </c>
      <c r="J36" s="3">
        <v>72</v>
      </c>
      <c r="K36" s="3">
        <v>147</v>
      </c>
      <c r="L36" s="31">
        <v>2.0416666666666665</v>
      </c>
      <c r="M36" s="3">
        <v>25</v>
      </c>
      <c r="N36" s="30">
        <v>0.31645569620253167</v>
      </c>
    </row>
    <row r="37" spans="1:14" x14ac:dyDescent="0.35">
      <c r="A37" s="1" t="s">
        <v>25</v>
      </c>
      <c r="B37" s="19">
        <v>44703</v>
      </c>
      <c r="C37" s="10">
        <v>576</v>
      </c>
      <c r="D37" s="20" t="s">
        <v>113</v>
      </c>
      <c r="E37" s="18" t="s">
        <v>114</v>
      </c>
      <c r="F37" s="10">
        <v>79</v>
      </c>
      <c r="G37" s="10">
        <v>70</v>
      </c>
      <c r="H37" s="32">
        <v>0.88607594936708856</v>
      </c>
      <c r="I37" s="10">
        <v>9</v>
      </c>
      <c r="J37" s="10">
        <v>72</v>
      </c>
      <c r="K37" s="10">
        <v>147</v>
      </c>
      <c r="L37" s="33">
        <v>2.0416666666666665</v>
      </c>
      <c r="M37" s="10">
        <v>25</v>
      </c>
      <c r="N37" s="32">
        <v>0.31645569620253167</v>
      </c>
    </row>
    <row r="38" spans="1:14" x14ac:dyDescent="0.35">
      <c r="A38" s="1" t="s">
        <v>25</v>
      </c>
      <c r="B38" s="13">
        <v>46032</v>
      </c>
      <c r="C38" s="3">
        <v>2024</v>
      </c>
      <c r="D38" s="5" t="s">
        <v>115</v>
      </c>
      <c r="E38" s="14" t="s">
        <v>116</v>
      </c>
      <c r="F38" s="3">
        <v>76</v>
      </c>
      <c r="G38" s="3">
        <v>72</v>
      </c>
      <c r="H38" s="30">
        <v>0.94736842105263153</v>
      </c>
      <c r="I38" s="3">
        <v>4</v>
      </c>
      <c r="J38" s="3">
        <v>73</v>
      </c>
      <c r="K38" s="3">
        <v>163</v>
      </c>
      <c r="L38" s="31">
        <v>2.2328767123287672</v>
      </c>
      <c r="M38" s="3">
        <v>63</v>
      </c>
      <c r="N38" s="30">
        <v>0.82894736842105265</v>
      </c>
    </row>
    <row r="39" spans="1:14" x14ac:dyDescent="0.35">
      <c r="A39" s="1" t="s">
        <v>25</v>
      </c>
      <c r="B39" s="13" t="s">
        <v>117</v>
      </c>
      <c r="C39" s="3" t="s">
        <v>118</v>
      </c>
      <c r="D39" s="21" t="s">
        <v>119</v>
      </c>
      <c r="E39" s="14" t="s">
        <v>120</v>
      </c>
      <c r="F39" s="3">
        <v>67</v>
      </c>
      <c r="G39" s="3">
        <v>66</v>
      </c>
      <c r="H39" s="30">
        <v>0.9850746268656716</v>
      </c>
      <c r="I39" s="3">
        <v>1</v>
      </c>
      <c r="J39" s="3">
        <v>67</v>
      </c>
      <c r="K39" s="3">
        <v>129</v>
      </c>
      <c r="L39" s="31">
        <v>1.9253731343283582</v>
      </c>
      <c r="M39" s="3">
        <v>64</v>
      </c>
      <c r="N39" s="30">
        <v>0.95522388059701491</v>
      </c>
    </row>
    <row r="40" spans="1:14" x14ac:dyDescent="0.35">
      <c r="A40" s="1" t="s">
        <v>25</v>
      </c>
      <c r="B40" s="13">
        <v>46023</v>
      </c>
      <c r="C40" s="3">
        <v>2023</v>
      </c>
      <c r="D40" s="5" t="s">
        <v>121</v>
      </c>
      <c r="E40" s="14" t="s">
        <v>122</v>
      </c>
      <c r="F40" s="3">
        <v>68</v>
      </c>
      <c r="G40" s="3">
        <v>59</v>
      </c>
      <c r="H40" s="30">
        <v>0.86764705882352944</v>
      </c>
      <c r="I40" s="3">
        <v>9</v>
      </c>
      <c r="J40" s="3">
        <v>60</v>
      </c>
      <c r="K40" s="3">
        <v>120</v>
      </c>
      <c r="L40" s="31">
        <v>2</v>
      </c>
      <c r="M40" s="3">
        <v>43</v>
      </c>
      <c r="N40" s="30">
        <v>0.63235294117647056</v>
      </c>
    </row>
    <row r="41" spans="1:14" x14ac:dyDescent="0.35">
      <c r="A41" s="1" t="s">
        <v>25</v>
      </c>
      <c r="B41" s="13" t="s">
        <v>123</v>
      </c>
      <c r="C41" s="3">
        <v>1757</v>
      </c>
      <c r="D41" s="1" t="s">
        <v>124</v>
      </c>
      <c r="E41" s="14" t="s">
        <v>125</v>
      </c>
      <c r="F41" s="3">
        <v>70</v>
      </c>
      <c r="G41" s="3">
        <v>66</v>
      </c>
      <c r="H41" s="30">
        <v>0.94285714285714284</v>
      </c>
      <c r="I41" s="3">
        <v>4</v>
      </c>
      <c r="J41" s="3">
        <v>66</v>
      </c>
      <c r="K41" s="3">
        <v>122</v>
      </c>
      <c r="L41" s="31">
        <v>1.8484848484848484</v>
      </c>
      <c r="M41" s="3">
        <v>56</v>
      </c>
      <c r="N41" s="30">
        <v>0.8</v>
      </c>
    </row>
    <row r="42" spans="1:14" x14ac:dyDescent="0.35">
      <c r="A42" s="1" t="s">
        <v>25</v>
      </c>
      <c r="B42" s="13"/>
      <c r="C42" s="3"/>
      <c r="D42" s="4" t="s">
        <v>126</v>
      </c>
      <c r="E42" s="14" t="s">
        <v>127</v>
      </c>
      <c r="F42" s="3">
        <v>0</v>
      </c>
      <c r="G42" s="3">
        <v>0</v>
      </c>
      <c r="H42" s="30">
        <v>0</v>
      </c>
      <c r="I42" s="3">
        <v>0</v>
      </c>
      <c r="J42" s="3">
        <v>0</v>
      </c>
      <c r="K42" s="3">
        <v>0</v>
      </c>
      <c r="L42" s="31">
        <v>0</v>
      </c>
      <c r="M42" s="3">
        <v>0</v>
      </c>
      <c r="N42" s="30">
        <v>0</v>
      </c>
    </row>
    <row r="43" spans="1:14" x14ac:dyDescent="0.35">
      <c r="A43" s="1" t="s">
        <v>25</v>
      </c>
      <c r="B43" s="13" t="s">
        <v>12</v>
      </c>
      <c r="C43" s="3" t="s">
        <v>128</v>
      </c>
      <c r="D43" s="1" t="s">
        <v>129</v>
      </c>
      <c r="E43" s="22" t="s">
        <v>130</v>
      </c>
      <c r="F43" s="3">
        <v>71</v>
      </c>
      <c r="G43" s="3">
        <v>71</v>
      </c>
      <c r="H43" s="30">
        <v>1</v>
      </c>
      <c r="I43" s="3">
        <v>0</v>
      </c>
      <c r="J43" s="3">
        <v>71</v>
      </c>
      <c r="K43" s="3">
        <v>129</v>
      </c>
      <c r="L43" s="31">
        <v>1.8169014084507042</v>
      </c>
      <c r="M43" s="3">
        <v>52</v>
      </c>
      <c r="N43" s="30">
        <v>0.73239436619718312</v>
      </c>
    </row>
    <row r="44" spans="1:14" x14ac:dyDescent="0.35">
      <c r="A44" s="1" t="s">
        <v>25</v>
      </c>
      <c r="B44" s="13" t="s">
        <v>131</v>
      </c>
      <c r="C44" s="3" t="s">
        <v>132</v>
      </c>
      <c r="D44" s="1" t="s">
        <v>133</v>
      </c>
      <c r="E44" s="22" t="s">
        <v>134</v>
      </c>
      <c r="F44" s="3">
        <v>66</v>
      </c>
      <c r="G44" s="3">
        <v>66</v>
      </c>
      <c r="H44" s="30">
        <v>1</v>
      </c>
      <c r="I44" s="3">
        <v>0</v>
      </c>
      <c r="J44" s="3">
        <v>66</v>
      </c>
      <c r="K44" s="3">
        <v>121</v>
      </c>
      <c r="L44" s="31">
        <v>1.8333333333333333</v>
      </c>
      <c r="M44" s="3">
        <v>49</v>
      </c>
      <c r="N44" s="30">
        <v>0.74242424242424243</v>
      </c>
    </row>
    <row r="45" spans="1:14" x14ac:dyDescent="0.35">
      <c r="A45" s="1" t="s">
        <v>25</v>
      </c>
      <c r="B45" s="13">
        <v>46032</v>
      </c>
      <c r="C45" s="3">
        <v>2092</v>
      </c>
      <c r="D45" s="5" t="s">
        <v>135</v>
      </c>
      <c r="E45" s="22" t="s">
        <v>136</v>
      </c>
      <c r="F45" s="3">
        <v>63</v>
      </c>
      <c r="G45" s="3">
        <v>59</v>
      </c>
      <c r="H45" s="30">
        <v>0.93650793650793651</v>
      </c>
      <c r="I45" s="3">
        <v>4</v>
      </c>
      <c r="J45" s="3">
        <v>67</v>
      </c>
      <c r="K45" s="3">
        <v>155</v>
      </c>
      <c r="L45" s="31">
        <v>2.3134328358208953</v>
      </c>
      <c r="M45" s="3">
        <v>47</v>
      </c>
      <c r="N45" s="30">
        <v>0.74603174603174605</v>
      </c>
    </row>
    <row r="46" spans="1:14" x14ac:dyDescent="0.35">
      <c r="A46" s="1" t="s">
        <v>25</v>
      </c>
      <c r="B46" s="17" t="s">
        <v>14</v>
      </c>
      <c r="C46" s="10" t="s">
        <v>137</v>
      </c>
      <c r="D46" s="9" t="s">
        <v>138</v>
      </c>
      <c r="E46" s="18" t="s">
        <v>139</v>
      </c>
      <c r="F46" s="10">
        <v>274</v>
      </c>
      <c r="G46" s="10">
        <v>269</v>
      </c>
      <c r="H46" s="32">
        <v>0.98175182481751821</v>
      </c>
      <c r="I46" s="10">
        <v>5</v>
      </c>
      <c r="J46" s="10">
        <v>270</v>
      </c>
      <c r="K46" s="10">
        <v>501</v>
      </c>
      <c r="L46" s="33">
        <v>1.8560231811493109</v>
      </c>
      <c r="M46" s="10">
        <v>221</v>
      </c>
      <c r="N46" s="32">
        <v>0.80656934306569339</v>
      </c>
    </row>
    <row r="47" spans="1:14" x14ac:dyDescent="0.35">
      <c r="A47" s="1" t="s">
        <v>25</v>
      </c>
      <c r="B47" s="13"/>
      <c r="C47" s="3"/>
      <c r="D47" s="4" t="s">
        <v>9</v>
      </c>
      <c r="E47" s="14" t="s">
        <v>140</v>
      </c>
      <c r="F47" s="3">
        <v>0</v>
      </c>
      <c r="G47" s="3">
        <v>0</v>
      </c>
      <c r="H47" s="30">
        <v>0</v>
      </c>
      <c r="I47" s="3">
        <v>0</v>
      </c>
      <c r="J47" s="3">
        <v>0</v>
      </c>
      <c r="K47" s="3">
        <v>0</v>
      </c>
      <c r="L47" s="31">
        <v>0</v>
      </c>
      <c r="M47" s="3">
        <v>0</v>
      </c>
      <c r="N47" s="30">
        <v>0</v>
      </c>
    </row>
    <row r="48" spans="1:14" x14ac:dyDescent="0.35">
      <c r="A48" s="1" t="s">
        <v>25</v>
      </c>
      <c r="B48" s="13" t="s">
        <v>141</v>
      </c>
      <c r="C48" s="3" t="s">
        <v>142</v>
      </c>
      <c r="D48" s="1" t="s">
        <v>143</v>
      </c>
      <c r="E48" s="14" t="s">
        <v>144</v>
      </c>
      <c r="F48" s="3">
        <v>75</v>
      </c>
      <c r="G48" s="3">
        <v>71</v>
      </c>
      <c r="H48" s="30">
        <v>0.94666666666666666</v>
      </c>
      <c r="I48" s="3">
        <v>4</v>
      </c>
      <c r="J48" s="3">
        <v>76</v>
      </c>
      <c r="K48" s="3">
        <v>131</v>
      </c>
      <c r="L48" s="31">
        <v>1.7236842105263157</v>
      </c>
      <c r="M48" s="3">
        <v>47</v>
      </c>
      <c r="N48" s="30">
        <v>0.62666666666666671</v>
      </c>
    </row>
    <row r="49" spans="1:14" x14ac:dyDescent="0.35">
      <c r="A49" s="1" t="s">
        <v>25</v>
      </c>
      <c r="B49" s="13"/>
      <c r="C49" s="3"/>
      <c r="D49" s="4" t="s">
        <v>145</v>
      </c>
      <c r="E49" s="14" t="s">
        <v>146</v>
      </c>
      <c r="F49" s="3">
        <v>0</v>
      </c>
      <c r="G49" s="3">
        <v>0</v>
      </c>
      <c r="H49" s="30">
        <v>0</v>
      </c>
      <c r="I49" s="3">
        <v>0</v>
      </c>
      <c r="J49" s="3">
        <v>0</v>
      </c>
      <c r="K49" s="3">
        <v>0</v>
      </c>
      <c r="L49" s="31">
        <v>0</v>
      </c>
      <c r="M49" s="3">
        <v>0</v>
      </c>
      <c r="N49" s="30">
        <v>0</v>
      </c>
    </row>
    <row r="50" spans="1:14" x14ac:dyDescent="0.35">
      <c r="A50" s="1" t="s">
        <v>25</v>
      </c>
      <c r="B50" s="13" t="s">
        <v>13</v>
      </c>
      <c r="C50" s="3" t="s">
        <v>147</v>
      </c>
      <c r="D50" s="1" t="s">
        <v>148</v>
      </c>
      <c r="E50" s="14" t="s">
        <v>149</v>
      </c>
      <c r="F50" s="3">
        <v>75</v>
      </c>
      <c r="G50" s="3">
        <v>73</v>
      </c>
      <c r="H50" s="30">
        <v>0.97333333333333338</v>
      </c>
      <c r="I50" s="3">
        <v>2</v>
      </c>
      <c r="J50" s="3">
        <v>75</v>
      </c>
      <c r="K50" s="3">
        <v>144</v>
      </c>
      <c r="L50" s="31">
        <v>1.92</v>
      </c>
      <c r="M50" s="3">
        <v>56</v>
      </c>
      <c r="N50" s="30">
        <v>0.7466666666666667</v>
      </c>
    </row>
    <row r="51" spans="1:14" x14ac:dyDescent="0.35">
      <c r="A51" s="1" t="s">
        <v>25</v>
      </c>
      <c r="B51" s="13">
        <v>46066</v>
      </c>
      <c r="C51" s="3">
        <v>2132</v>
      </c>
      <c r="D51" s="5" t="s">
        <v>150</v>
      </c>
      <c r="E51" s="14" t="s">
        <v>151</v>
      </c>
      <c r="F51" s="3">
        <v>77</v>
      </c>
      <c r="G51" s="3">
        <v>5</v>
      </c>
      <c r="H51" s="30">
        <v>6.4935064935064929E-2</v>
      </c>
      <c r="I51" s="3">
        <v>72</v>
      </c>
      <c r="J51" s="3">
        <v>6</v>
      </c>
      <c r="K51" s="3">
        <v>6</v>
      </c>
      <c r="L51" s="31">
        <v>1</v>
      </c>
      <c r="M51" s="3">
        <v>0</v>
      </c>
      <c r="N51" s="30">
        <v>0</v>
      </c>
    </row>
    <row r="52" spans="1:14" x14ac:dyDescent="0.35">
      <c r="A52" s="1" t="s">
        <v>25</v>
      </c>
      <c r="B52" s="13">
        <v>0</v>
      </c>
      <c r="C52" s="3">
        <v>0</v>
      </c>
      <c r="D52" s="4" t="s">
        <v>21</v>
      </c>
      <c r="E52" s="14" t="s">
        <v>152</v>
      </c>
      <c r="F52" s="3">
        <v>0</v>
      </c>
      <c r="G52" s="3">
        <v>0</v>
      </c>
      <c r="H52" s="30">
        <v>0</v>
      </c>
      <c r="I52" s="3">
        <v>0</v>
      </c>
      <c r="J52" s="3">
        <v>0</v>
      </c>
      <c r="K52" s="3">
        <v>0</v>
      </c>
      <c r="L52" s="31">
        <v>0</v>
      </c>
      <c r="M52" s="3">
        <v>0</v>
      </c>
      <c r="N52" s="30">
        <v>0</v>
      </c>
    </row>
    <row r="53" spans="1:14" x14ac:dyDescent="0.35">
      <c r="A53" s="1" t="s">
        <v>25</v>
      </c>
      <c r="B53" s="19">
        <v>45444</v>
      </c>
      <c r="C53" s="20">
        <v>1187</v>
      </c>
      <c r="D53" s="20" t="s">
        <v>153</v>
      </c>
      <c r="E53" s="18" t="s">
        <v>154</v>
      </c>
      <c r="F53" s="10">
        <v>150</v>
      </c>
      <c r="G53" s="10">
        <v>144</v>
      </c>
      <c r="H53" s="32">
        <v>0.96</v>
      </c>
      <c r="I53" s="10">
        <v>6</v>
      </c>
      <c r="J53" s="10">
        <v>151</v>
      </c>
      <c r="K53" s="10">
        <v>275</v>
      </c>
      <c r="L53" s="33">
        <v>1.8218421052631579</v>
      </c>
      <c r="M53" s="10">
        <v>103</v>
      </c>
      <c r="N53" s="32">
        <v>0.68666666666666665</v>
      </c>
    </row>
    <row r="54" spans="1:14" x14ac:dyDescent="0.35">
      <c r="A54" s="1" t="s">
        <v>25</v>
      </c>
      <c r="B54" s="13">
        <v>46023</v>
      </c>
      <c r="C54" s="3">
        <v>2009</v>
      </c>
      <c r="D54" s="5" t="s">
        <v>155</v>
      </c>
      <c r="E54" s="14" t="s">
        <v>156</v>
      </c>
      <c r="F54" s="3">
        <v>84</v>
      </c>
      <c r="G54" s="3">
        <v>79</v>
      </c>
      <c r="H54" s="30">
        <v>0.94047619047619047</v>
      </c>
      <c r="I54" s="3">
        <v>5</v>
      </c>
      <c r="J54" s="3">
        <v>79</v>
      </c>
      <c r="K54" s="3">
        <v>164</v>
      </c>
      <c r="L54" s="31">
        <v>2.0759493670886076</v>
      </c>
      <c r="M54" s="3">
        <v>42</v>
      </c>
      <c r="N54" s="30">
        <v>0.5</v>
      </c>
    </row>
    <row r="55" spans="1:14" x14ac:dyDescent="0.35">
      <c r="A55" s="1" t="s">
        <v>25</v>
      </c>
      <c r="B55" s="13" t="s">
        <v>157</v>
      </c>
      <c r="C55" s="3" t="s">
        <v>158</v>
      </c>
      <c r="D55" s="1" t="s">
        <v>159</v>
      </c>
      <c r="E55" s="14" t="s">
        <v>160</v>
      </c>
      <c r="F55" s="3">
        <v>90</v>
      </c>
      <c r="G55" s="3">
        <v>84</v>
      </c>
      <c r="H55" s="30">
        <v>0.93333333333333335</v>
      </c>
      <c r="I55" s="3">
        <v>6</v>
      </c>
      <c r="J55" s="3">
        <v>84</v>
      </c>
      <c r="K55" s="3">
        <v>169</v>
      </c>
      <c r="L55" s="31">
        <v>2.0119047619047619</v>
      </c>
      <c r="M55" s="3">
        <v>73</v>
      </c>
      <c r="N55" s="30">
        <v>0.81111111111111112</v>
      </c>
    </row>
    <row r="56" spans="1:14" x14ac:dyDescent="0.35">
      <c r="A56" s="1" t="s">
        <v>25</v>
      </c>
      <c r="B56" s="13"/>
      <c r="C56" s="3"/>
      <c r="D56" s="4" t="s">
        <v>161</v>
      </c>
      <c r="E56" s="14" t="s">
        <v>162</v>
      </c>
      <c r="F56" s="3">
        <v>0</v>
      </c>
      <c r="G56" s="3">
        <v>0</v>
      </c>
      <c r="H56" s="30">
        <v>0</v>
      </c>
      <c r="I56" s="3">
        <v>0</v>
      </c>
      <c r="J56" s="3">
        <v>0</v>
      </c>
      <c r="K56" s="3">
        <v>0</v>
      </c>
      <c r="L56" s="31">
        <v>0</v>
      </c>
      <c r="M56" s="3">
        <v>0</v>
      </c>
      <c r="N56" s="30">
        <v>0</v>
      </c>
    </row>
    <row r="57" spans="1:14" x14ac:dyDescent="0.35">
      <c r="A57" s="1" t="s">
        <v>25</v>
      </c>
      <c r="B57" s="13" t="s">
        <v>163</v>
      </c>
      <c r="C57" s="3" t="s">
        <v>164</v>
      </c>
      <c r="D57" s="1" t="s">
        <v>165</v>
      </c>
      <c r="E57" s="14" t="s">
        <v>166</v>
      </c>
      <c r="F57" s="3">
        <v>88</v>
      </c>
      <c r="G57" s="3">
        <v>79</v>
      </c>
      <c r="H57" s="30">
        <v>0.89772727272727271</v>
      </c>
      <c r="I57" s="3">
        <v>9</v>
      </c>
      <c r="J57" s="3">
        <v>79</v>
      </c>
      <c r="K57" s="3">
        <v>170</v>
      </c>
      <c r="L57" s="31">
        <v>2.1518987341772151</v>
      </c>
      <c r="M57" s="3">
        <v>72</v>
      </c>
      <c r="N57" s="30">
        <v>0.81818181818181823</v>
      </c>
    </row>
    <row r="58" spans="1:14" x14ac:dyDescent="0.35">
      <c r="A58" s="1" t="s">
        <v>25</v>
      </c>
      <c r="B58" s="13">
        <v>46023</v>
      </c>
      <c r="C58" s="3">
        <v>2010</v>
      </c>
      <c r="D58" s="5" t="s">
        <v>167</v>
      </c>
      <c r="E58" s="14" t="s">
        <v>168</v>
      </c>
      <c r="F58" s="3">
        <v>89</v>
      </c>
      <c r="G58" s="3">
        <v>63</v>
      </c>
      <c r="H58" s="30">
        <v>0.7078651685393258</v>
      </c>
      <c r="I58" s="3">
        <v>26</v>
      </c>
      <c r="J58" s="3">
        <v>73</v>
      </c>
      <c r="K58" s="3">
        <v>147</v>
      </c>
      <c r="L58" s="31">
        <v>2.0136986301369864</v>
      </c>
      <c r="M58" s="3">
        <v>22</v>
      </c>
      <c r="N58" s="30">
        <v>0.24719101123595505</v>
      </c>
    </row>
    <row r="59" spans="1:14" x14ac:dyDescent="0.35">
      <c r="A59" s="1" t="s">
        <v>25</v>
      </c>
      <c r="B59" s="13" t="s">
        <v>14</v>
      </c>
      <c r="C59" s="3" t="s">
        <v>169</v>
      </c>
      <c r="D59" s="1" t="s">
        <v>170</v>
      </c>
      <c r="E59" s="14" t="s">
        <v>171</v>
      </c>
      <c r="F59" s="3">
        <v>68</v>
      </c>
      <c r="G59" s="3">
        <v>65</v>
      </c>
      <c r="H59" s="30">
        <v>0.95588235294117652</v>
      </c>
      <c r="I59" s="3">
        <v>3</v>
      </c>
      <c r="J59" s="3">
        <v>65</v>
      </c>
      <c r="K59" s="3">
        <v>161</v>
      </c>
      <c r="L59" s="31">
        <v>2.476923076923077</v>
      </c>
      <c r="M59" s="3">
        <v>48</v>
      </c>
      <c r="N59" s="30">
        <v>0.70588235294117652</v>
      </c>
    </row>
    <row r="60" spans="1:14" x14ac:dyDescent="0.35">
      <c r="A60" s="1" t="s">
        <v>25</v>
      </c>
      <c r="B60" s="17"/>
      <c r="C60" s="10"/>
      <c r="D60" s="11" t="s">
        <v>22</v>
      </c>
      <c r="E60" s="18" t="s">
        <v>172</v>
      </c>
      <c r="F60" s="10">
        <v>246</v>
      </c>
      <c r="G60" s="10">
        <v>228</v>
      </c>
      <c r="H60" s="32">
        <v>0.92682926829268297</v>
      </c>
      <c r="I60" s="10">
        <v>18</v>
      </c>
      <c r="J60" s="10">
        <v>228</v>
      </c>
      <c r="K60" s="10">
        <v>500</v>
      </c>
      <c r="L60" s="33">
        <v>2.2135755243350181</v>
      </c>
      <c r="M60" s="10">
        <v>193</v>
      </c>
      <c r="N60" s="32">
        <v>0.78455284552845528</v>
      </c>
    </row>
    <row r="61" spans="1:14" x14ac:dyDescent="0.35">
      <c r="A61" s="1" t="s">
        <v>25</v>
      </c>
      <c r="B61" s="13" t="s">
        <v>123</v>
      </c>
      <c r="C61" s="3" t="s">
        <v>173</v>
      </c>
      <c r="D61" s="1" t="s">
        <v>174</v>
      </c>
      <c r="E61" s="14" t="s">
        <v>175</v>
      </c>
      <c r="F61" s="3">
        <v>88</v>
      </c>
      <c r="G61" s="3">
        <v>83</v>
      </c>
      <c r="H61" s="30">
        <v>0.94318181818181823</v>
      </c>
      <c r="I61" s="3">
        <v>5</v>
      </c>
      <c r="J61" s="3">
        <v>84</v>
      </c>
      <c r="K61" s="3">
        <v>173</v>
      </c>
      <c r="L61" s="31">
        <v>2.0595238095238093</v>
      </c>
      <c r="M61" s="3">
        <v>53</v>
      </c>
      <c r="N61" s="30">
        <v>0.60227272727272729</v>
      </c>
    </row>
    <row r="62" spans="1:14" x14ac:dyDescent="0.35">
      <c r="A62" s="1" t="s">
        <v>25</v>
      </c>
      <c r="B62" s="13">
        <v>46060</v>
      </c>
      <c r="C62" s="3">
        <v>2130</v>
      </c>
      <c r="D62" s="5" t="s">
        <v>176</v>
      </c>
      <c r="E62" s="14" t="s">
        <v>177</v>
      </c>
      <c r="F62" s="3">
        <v>80</v>
      </c>
      <c r="G62" s="3">
        <v>29</v>
      </c>
      <c r="H62" s="30">
        <v>0.36249999999999999</v>
      </c>
      <c r="I62" s="3">
        <v>51</v>
      </c>
      <c r="J62" s="3">
        <v>30</v>
      </c>
      <c r="K62" s="3">
        <v>35</v>
      </c>
      <c r="L62" s="31">
        <v>1.1666666666666667</v>
      </c>
      <c r="M62" s="3">
        <v>0</v>
      </c>
      <c r="N62" s="30">
        <v>0</v>
      </c>
    </row>
    <row r="63" spans="1:14" x14ac:dyDescent="0.35">
      <c r="A63" s="1" t="s">
        <v>25</v>
      </c>
      <c r="B63" s="13" t="s">
        <v>12</v>
      </c>
      <c r="C63" s="3" t="s">
        <v>178</v>
      </c>
      <c r="D63" s="12" t="s">
        <v>179</v>
      </c>
      <c r="E63" s="14" t="s">
        <v>180</v>
      </c>
      <c r="F63" s="3">
        <v>103</v>
      </c>
      <c r="G63" s="3">
        <v>97</v>
      </c>
      <c r="H63" s="30">
        <v>0.94174757281553401</v>
      </c>
      <c r="I63" s="3">
        <v>6</v>
      </c>
      <c r="J63" s="3">
        <v>97</v>
      </c>
      <c r="K63" s="3">
        <v>172</v>
      </c>
      <c r="L63" s="31">
        <v>1.7731958762886597</v>
      </c>
      <c r="M63" s="3">
        <v>52</v>
      </c>
      <c r="N63" s="30">
        <v>0.50485436893203883</v>
      </c>
    </row>
    <row r="64" spans="1:14" x14ac:dyDescent="0.35">
      <c r="A64" s="1" t="s">
        <v>25</v>
      </c>
      <c r="B64" s="13">
        <v>46025</v>
      </c>
      <c r="C64" s="3">
        <v>2022</v>
      </c>
      <c r="D64" s="5" t="s">
        <v>181</v>
      </c>
      <c r="E64" s="14" t="s">
        <v>182</v>
      </c>
      <c r="F64" s="3">
        <v>91</v>
      </c>
      <c r="G64" s="3">
        <v>71</v>
      </c>
      <c r="H64" s="30">
        <v>0.78021978021978022</v>
      </c>
      <c r="I64" s="3">
        <v>20</v>
      </c>
      <c r="J64" s="3">
        <v>71</v>
      </c>
      <c r="K64" s="3">
        <v>122</v>
      </c>
      <c r="L64" s="31">
        <v>1.7183098591549295</v>
      </c>
      <c r="M64" s="3">
        <v>37</v>
      </c>
      <c r="N64" s="30">
        <v>0.40659340659340659</v>
      </c>
    </row>
    <row r="65" spans="1:14" x14ac:dyDescent="0.35">
      <c r="A65" s="1" t="s">
        <v>25</v>
      </c>
      <c r="B65" s="13" t="s">
        <v>12</v>
      </c>
      <c r="C65" s="3" t="s">
        <v>183</v>
      </c>
      <c r="D65" s="1" t="s">
        <v>184</v>
      </c>
      <c r="E65" s="14" t="s">
        <v>185</v>
      </c>
      <c r="F65" s="3">
        <v>91</v>
      </c>
      <c r="G65" s="3">
        <v>83</v>
      </c>
      <c r="H65" s="30">
        <v>0.91208791208791207</v>
      </c>
      <c r="I65" s="3">
        <v>8</v>
      </c>
      <c r="J65" s="3">
        <v>83</v>
      </c>
      <c r="K65" s="3">
        <v>157</v>
      </c>
      <c r="L65" s="31">
        <v>1.8915662650602409</v>
      </c>
      <c r="M65" s="3">
        <v>47</v>
      </c>
      <c r="N65" s="30">
        <v>0.51648351648351654</v>
      </c>
    </row>
    <row r="66" spans="1:14" x14ac:dyDescent="0.35">
      <c r="A66" s="1" t="s">
        <v>25</v>
      </c>
      <c r="B66" s="17">
        <v>44047</v>
      </c>
      <c r="C66" s="10">
        <v>210</v>
      </c>
      <c r="D66" s="9" t="s">
        <v>186</v>
      </c>
      <c r="E66" s="23" t="s">
        <v>187</v>
      </c>
      <c r="F66" s="10">
        <v>179</v>
      </c>
      <c r="G66" s="10">
        <v>166</v>
      </c>
      <c r="H66" s="32">
        <v>0.92737430167597767</v>
      </c>
      <c r="I66" s="10">
        <v>13</v>
      </c>
      <c r="J66" s="10">
        <v>167</v>
      </c>
      <c r="K66" s="10">
        <v>330</v>
      </c>
      <c r="L66" s="33">
        <v>1.9755450372920251</v>
      </c>
      <c r="M66" s="10">
        <v>100</v>
      </c>
      <c r="N66" s="32">
        <v>0.55865921787709494</v>
      </c>
    </row>
    <row r="67" spans="1:14" x14ac:dyDescent="0.35">
      <c r="A67" s="1" t="s">
        <v>25</v>
      </c>
      <c r="B67" s="24" t="s">
        <v>188</v>
      </c>
      <c r="C67" s="25" t="s">
        <v>189</v>
      </c>
      <c r="D67" s="26" t="s">
        <v>190</v>
      </c>
      <c r="E67" s="27" t="s">
        <v>10</v>
      </c>
      <c r="F67" s="25">
        <v>1933</v>
      </c>
      <c r="G67" s="25">
        <v>1763</v>
      </c>
      <c r="H67" s="34">
        <v>0.91205380237972067</v>
      </c>
      <c r="I67" s="25">
        <v>170</v>
      </c>
      <c r="J67" s="25">
        <v>1783</v>
      </c>
      <c r="K67" s="25">
        <v>3577</v>
      </c>
      <c r="L67" s="35">
        <v>1.9194149272051861</v>
      </c>
      <c r="M67" s="25">
        <v>1182</v>
      </c>
      <c r="N67" s="34">
        <v>0.61148473874805997</v>
      </c>
    </row>
  </sheetData>
  <mergeCells count="14">
    <mergeCell ref="A1:A2"/>
    <mergeCell ref="N1:N2"/>
    <mergeCell ref="H1:H2"/>
    <mergeCell ref="I1:I2"/>
    <mergeCell ref="J1:J2"/>
    <mergeCell ref="K1:K2"/>
    <mergeCell ref="L1:L2"/>
    <mergeCell ref="M1:M2"/>
    <mergeCell ref="G1:G2"/>
    <mergeCell ref="B1:B2"/>
    <mergeCell ref="C1:C2"/>
    <mergeCell ref="D1:D2"/>
    <mergeCell ref="E1:E2"/>
    <mergeCell ref="F1:F2"/>
  </mergeCells>
  <conditionalFormatting sqref="H1:H5 H7 H9 H13 H16:H17 H20:H21 H24:H25 H27:H29 H36 H39 H41 H43:H44 H48 H50 H55 H57 H59 H61 H65">
    <cfRule type="cellIs" dxfId="4" priority="2" operator="lessThan">
      <formula>0.9</formula>
    </cfRule>
  </conditionalFormatting>
  <conditionalFormatting sqref="N1:N5 N7 N9 N13 N16:N17 N21 N24:N25 N27:N28 N36 N38:N39 N41 N43:N44 N48 N50 N55 N57 N59 N61 N65">
    <cfRule type="cellIs" dxfId="3" priority="1" operator="lessThan">
      <formula>0.8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6957D-4449-46C0-93EE-74DA2FA5B219}">
  <dimension ref="A1:V50"/>
  <sheetViews>
    <sheetView zoomScale="70" zoomScaleNormal="70" workbookViewId="0">
      <selection activeCell="D13" sqref="D11:D13"/>
    </sheetView>
  </sheetViews>
  <sheetFormatPr defaultRowHeight="14.5" x14ac:dyDescent="0.35"/>
  <cols>
    <col min="1" max="3" width="8.7265625" style="7"/>
    <col min="4" max="4" width="22.6328125" style="28" customWidth="1"/>
    <col min="6" max="6" width="34.1796875" customWidth="1"/>
    <col min="7" max="9" width="34.1796875" style="36" customWidth="1"/>
    <col min="10" max="12" width="34.1796875" customWidth="1"/>
    <col min="13" max="13" width="40.81640625" style="29" customWidth="1"/>
    <col min="14" max="14" width="11.453125" style="36" customWidth="1"/>
    <col min="15" max="15" width="16.90625" style="36" customWidth="1"/>
    <col min="16" max="16" width="16.54296875" style="37" customWidth="1"/>
    <col min="17" max="17" width="13.26953125" style="36" customWidth="1"/>
    <col min="18" max="18" width="10.26953125" style="36" customWidth="1"/>
    <col min="19" max="19" width="9.453125" style="36" customWidth="1"/>
    <col min="20" max="21" width="12.26953125" style="38" customWidth="1"/>
    <col min="22" max="22" width="12.26953125" style="37" customWidth="1"/>
  </cols>
  <sheetData>
    <row r="1" spans="1:22" ht="14.5" customHeight="1" x14ac:dyDescent="0.35">
      <c r="A1" s="43" t="s">
        <v>23</v>
      </c>
      <c r="B1" s="50" t="s">
        <v>197</v>
      </c>
      <c r="C1" s="50" t="s">
        <v>198</v>
      </c>
      <c r="D1" s="43" t="s">
        <v>17</v>
      </c>
      <c r="E1" s="47" t="s">
        <v>18</v>
      </c>
      <c r="F1" s="48" t="s">
        <v>201</v>
      </c>
      <c r="G1" s="47" t="s">
        <v>202</v>
      </c>
      <c r="H1" s="47" t="s">
        <v>203</v>
      </c>
      <c r="I1" s="52" t="s">
        <v>204</v>
      </c>
      <c r="J1" s="50" t="s">
        <v>193</v>
      </c>
      <c r="K1" s="50" t="s">
        <v>10</v>
      </c>
      <c r="L1" s="50" t="s">
        <v>194</v>
      </c>
      <c r="M1" s="49" t="s">
        <v>1</v>
      </c>
      <c r="N1" s="45" t="s">
        <v>2</v>
      </c>
      <c r="O1" s="45" t="s">
        <v>3</v>
      </c>
      <c r="P1" s="44" t="s">
        <v>4</v>
      </c>
      <c r="Q1" s="45" t="s">
        <v>5</v>
      </c>
      <c r="R1" s="45" t="s">
        <v>6</v>
      </c>
      <c r="S1" s="46" t="s">
        <v>7</v>
      </c>
      <c r="T1" s="46" t="s">
        <v>8</v>
      </c>
      <c r="U1" s="46" t="s">
        <v>19</v>
      </c>
      <c r="V1" s="44" t="s">
        <v>20</v>
      </c>
    </row>
    <row r="2" spans="1:22" x14ac:dyDescent="0.35">
      <c r="A2" s="43"/>
      <c r="B2" s="51"/>
      <c r="C2" s="51"/>
      <c r="D2" s="43"/>
      <c r="E2" s="47"/>
      <c r="F2" s="48"/>
      <c r="G2" s="47"/>
      <c r="H2" s="47"/>
      <c r="I2" s="53"/>
      <c r="J2" s="51"/>
      <c r="K2" s="51"/>
      <c r="L2" s="51"/>
      <c r="M2" s="49"/>
      <c r="N2" s="45"/>
      <c r="O2" s="45"/>
      <c r="P2" s="44"/>
      <c r="Q2" s="45"/>
      <c r="R2" s="45"/>
      <c r="S2" s="46"/>
      <c r="T2" s="46"/>
      <c r="U2" s="46"/>
      <c r="V2" s="44"/>
    </row>
    <row r="3" spans="1:22" ht="15.5" x14ac:dyDescent="0.35">
      <c r="A3" s="1" t="s">
        <v>25</v>
      </c>
      <c r="B3" s="1">
        <v>7</v>
      </c>
      <c r="C3" s="40" t="s">
        <v>200</v>
      </c>
      <c r="D3" s="13" t="s">
        <v>26</v>
      </c>
      <c r="E3" s="3">
        <v>1707</v>
      </c>
      <c r="F3" s="1" t="s">
        <v>27</v>
      </c>
      <c r="G3" s="3">
        <v>79</v>
      </c>
      <c r="H3" s="3">
        <v>76</v>
      </c>
      <c r="I3" s="3">
        <v>63</v>
      </c>
      <c r="J3" s="9" t="s">
        <v>50</v>
      </c>
      <c r="K3" s="26" t="s">
        <v>190</v>
      </c>
      <c r="L3" s="39" t="s">
        <v>196</v>
      </c>
      <c r="M3" s="14" t="s">
        <v>28</v>
      </c>
      <c r="N3" s="3">
        <v>79</v>
      </c>
      <c r="O3" s="3">
        <v>76</v>
      </c>
      <c r="P3" s="30">
        <v>0.96202531645569622</v>
      </c>
      <c r="Q3" s="3">
        <v>3</v>
      </c>
      <c r="R3" s="3">
        <v>76</v>
      </c>
      <c r="S3" s="3">
        <v>169</v>
      </c>
      <c r="T3" s="31">
        <v>2.2236842105263159</v>
      </c>
      <c r="U3" s="3">
        <v>63</v>
      </c>
      <c r="V3" s="30">
        <v>0.79746835443037978</v>
      </c>
    </row>
    <row r="4" spans="1:22" ht="15.5" x14ac:dyDescent="0.35">
      <c r="A4" s="1" t="s">
        <v>25</v>
      </c>
      <c r="B4" s="1">
        <v>20</v>
      </c>
      <c r="C4" s="40" t="s">
        <v>200</v>
      </c>
      <c r="D4" s="13" t="s">
        <v>29</v>
      </c>
      <c r="E4" s="3" t="s">
        <v>30</v>
      </c>
      <c r="F4" s="1" t="s">
        <v>31</v>
      </c>
      <c r="G4" s="3">
        <v>71</v>
      </c>
      <c r="H4" s="3">
        <v>66</v>
      </c>
      <c r="I4" s="3">
        <v>40</v>
      </c>
      <c r="J4" s="9" t="s">
        <v>50</v>
      </c>
      <c r="K4" s="26" t="s">
        <v>190</v>
      </c>
      <c r="L4" s="39" t="s">
        <v>196</v>
      </c>
      <c r="M4" s="14" t="s">
        <v>32</v>
      </c>
      <c r="N4" s="3">
        <v>71</v>
      </c>
      <c r="O4" s="3">
        <v>66</v>
      </c>
      <c r="P4" s="30">
        <v>0.92957746478873238</v>
      </c>
      <c r="Q4" s="3">
        <v>5</v>
      </c>
      <c r="R4" s="3">
        <v>71</v>
      </c>
      <c r="S4" s="3">
        <v>161</v>
      </c>
      <c r="T4" s="31">
        <v>2.267605633802817</v>
      </c>
      <c r="U4" s="3">
        <v>40</v>
      </c>
      <c r="V4" s="30">
        <v>0.56338028169014087</v>
      </c>
    </row>
    <row r="5" spans="1:22" ht="15.5" x14ac:dyDescent="0.35">
      <c r="A5" s="1" t="s">
        <v>25</v>
      </c>
      <c r="B5" s="1">
        <v>15</v>
      </c>
      <c r="C5" s="40" t="s">
        <v>200</v>
      </c>
      <c r="D5" s="13" t="s">
        <v>15</v>
      </c>
      <c r="E5" s="3" t="s">
        <v>33</v>
      </c>
      <c r="F5" s="1" t="s">
        <v>34</v>
      </c>
      <c r="G5" s="3">
        <v>72</v>
      </c>
      <c r="H5" s="3">
        <v>68</v>
      </c>
      <c r="I5" s="3">
        <v>60</v>
      </c>
      <c r="J5" s="9" t="s">
        <v>50</v>
      </c>
      <c r="K5" s="26" t="s">
        <v>190</v>
      </c>
      <c r="L5" s="39" t="s">
        <v>196</v>
      </c>
      <c r="M5" s="14" t="s">
        <v>35</v>
      </c>
      <c r="N5" s="3">
        <v>72</v>
      </c>
      <c r="O5" s="3">
        <v>68</v>
      </c>
      <c r="P5" s="30">
        <v>0.94444444444444442</v>
      </c>
      <c r="Q5" s="3">
        <v>4</v>
      </c>
      <c r="R5" s="3">
        <v>68</v>
      </c>
      <c r="S5" s="3">
        <v>158</v>
      </c>
      <c r="T5" s="31">
        <v>2.3235294117647061</v>
      </c>
      <c r="U5" s="3">
        <v>60</v>
      </c>
      <c r="V5" s="30">
        <v>0.83333333333333337</v>
      </c>
    </row>
    <row r="6" spans="1:22" ht="15.5" x14ac:dyDescent="0.35">
      <c r="A6" s="1" t="s">
        <v>25</v>
      </c>
      <c r="B6" s="1">
        <v>2</v>
      </c>
      <c r="C6" s="1" t="s">
        <v>199</v>
      </c>
      <c r="D6" s="13">
        <v>46025</v>
      </c>
      <c r="E6" s="3">
        <v>2008</v>
      </c>
      <c r="F6" s="5" t="s">
        <v>36</v>
      </c>
      <c r="G6" s="3">
        <v>0</v>
      </c>
      <c r="H6" s="3">
        <v>0</v>
      </c>
      <c r="I6" s="3">
        <v>0</v>
      </c>
      <c r="J6" s="9" t="s">
        <v>50</v>
      </c>
      <c r="K6" s="26" t="s">
        <v>190</v>
      </c>
      <c r="L6" s="39" t="s">
        <v>196</v>
      </c>
      <c r="M6" s="14" t="s">
        <v>37</v>
      </c>
      <c r="N6" s="3">
        <v>74</v>
      </c>
      <c r="O6" s="3">
        <v>65</v>
      </c>
      <c r="P6" s="30">
        <v>0.8783783783783784</v>
      </c>
      <c r="Q6" s="3">
        <v>9</v>
      </c>
      <c r="R6" s="3">
        <v>74</v>
      </c>
      <c r="S6" s="3">
        <v>134</v>
      </c>
      <c r="T6" s="31">
        <v>1.8108108108108107</v>
      </c>
      <c r="U6" s="3">
        <v>27</v>
      </c>
      <c r="V6" s="30">
        <v>0.36486486486486486</v>
      </c>
    </row>
    <row r="7" spans="1:22" ht="15.5" x14ac:dyDescent="0.35">
      <c r="A7" s="1" t="s">
        <v>25</v>
      </c>
      <c r="B7" s="1">
        <v>17</v>
      </c>
      <c r="C7" s="40" t="s">
        <v>200</v>
      </c>
      <c r="D7" s="13" t="s">
        <v>38</v>
      </c>
      <c r="E7" s="3" t="s">
        <v>39</v>
      </c>
      <c r="F7" s="1" t="s">
        <v>40</v>
      </c>
      <c r="G7" s="3">
        <v>80</v>
      </c>
      <c r="H7" s="3">
        <v>77</v>
      </c>
      <c r="I7" s="3">
        <v>44</v>
      </c>
      <c r="J7" s="9" t="s">
        <v>50</v>
      </c>
      <c r="K7" s="26" t="s">
        <v>190</v>
      </c>
      <c r="L7" s="39" t="s">
        <v>196</v>
      </c>
      <c r="M7" s="14" t="s">
        <v>41</v>
      </c>
      <c r="N7" s="3">
        <v>80</v>
      </c>
      <c r="O7" s="3">
        <v>77</v>
      </c>
      <c r="P7" s="30">
        <v>0.96250000000000002</v>
      </c>
      <c r="Q7" s="3">
        <v>3</v>
      </c>
      <c r="R7" s="3">
        <v>77</v>
      </c>
      <c r="S7" s="3">
        <v>154</v>
      </c>
      <c r="T7" s="31">
        <v>2</v>
      </c>
      <c r="U7" s="3">
        <v>44</v>
      </c>
      <c r="V7" s="30">
        <v>0.55000000000000004</v>
      </c>
    </row>
    <row r="8" spans="1:22" ht="15.5" x14ac:dyDescent="0.35">
      <c r="A8" s="1" t="s">
        <v>25</v>
      </c>
      <c r="B8" s="1">
        <v>26</v>
      </c>
      <c r="C8" s="40" t="s">
        <v>200</v>
      </c>
      <c r="D8" s="13" t="s">
        <v>12</v>
      </c>
      <c r="E8" s="3" t="s">
        <v>43</v>
      </c>
      <c r="F8" s="1" t="s">
        <v>44</v>
      </c>
      <c r="G8" s="3">
        <v>78</v>
      </c>
      <c r="H8" s="3">
        <v>71</v>
      </c>
      <c r="I8" s="3">
        <v>48</v>
      </c>
      <c r="J8" s="9" t="s">
        <v>50</v>
      </c>
      <c r="K8" s="26" t="s">
        <v>190</v>
      </c>
      <c r="L8" s="39" t="s">
        <v>196</v>
      </c>
      <c r="M8" s="14" t="s">
        <v>45</v>
      </c>
      <c r="N8" s="3">
        <v>78</v>
      </c>
      <c r="O8" s="3">
        <v>71</v>
      </c>
      <c r="P8" s="30">
        <v>0.91025641025641024</v>
      </c>
      <c r="Q8" s="3">
        <v>7</v>
      </c>
      <c r="R8" s="3">
        <v>73</v>
      </c>
      <c r="S8" s="3">
        <v>154</v>
      </c>
      <c r="T8" s="31">
        <v>2.1095890410958904</v>
      </c>
      <c r="U8" s="3">
        <v>48</v>
      </c>
      <c r="V8" s="30">
        <v>0.61538461538461542</v>
      </c>
    </row>
    <row r="9" spans="1:22" ht="15.5" x14ac:dyDescent="0.35">
      <c r="A9" s="1" t="s">
        <v>25</v>
      </c>
      <c r="B9" s="1">
        <v>1</v>
      </c>
      <c r="C9" s="1" t="s">
        <v>199</v>
      </c>
      <c r="D9" s="13">
        <v>46032</v>
      </c>
      <c r="E9" s="3">
        <v>2007</v>
      </c>
      <c r="F9" s="16" t="s">
        <v>46</v>
      </c>
      <c r="G9" s="42">
        <v>0</v>
      </c>
      <c r="H9" s="42">
        <v>0</v>
      </c>
      <c r="I9" s="42">
        <v>0</v>
      </c>
      <c r="J9" s="9" t="s">
        <v>50</v>
      </c>
      <c r="K9" s="26" t="s">
        <v>190</v>
      </c>
      <c r="L9" s="39" t="s">
        <v>196</v>
      </c>
      <c r="M9" s="14" t="s">
        <v>47</v>
      </c>
      <c r="N9" s="3">
        <v>89</v>
      </c>
      <c r="O9" s="3">
        <v>53</v>
      </c>
      <c r="P9" s="30">
        <v>0.5955056179775281</v>
      </c>
      <c r="Q9" s="3">
        <v>36</v>
      </c>
      <c r="R9" s="3">
        <v>53</v>
      </c>
      <c r="S9" s="3">
        <v>66</v>
      </c>
      <c r="T9" s="31">
        <v>1.2452830188679245</v>
      </c>
      <c r="U9" s="3">
        <v>8</v>
      </c>
      <c r="V9" s="30">
        <v>8.98876404494382E-2</v>
      </c>
    </row>
    <row r="10" spans="1:22" ht="15.5" x14ac:dyDescent="0.35">
      <c r="A10" s="1" t="s">
        <v>25</v>
      </c>
      <c r="B10" s="1">
        <v>4</v>
      </c>
      <c r="C10" s="40" t="s">
        <v>200</v>
      </c>
      <c r="D10" s="13" t="s">
        <v>54</v>
      </c>
      <c r="E10" s="3">
        <v>1839</v>
      </c>
      <c r="F10" s="1" t="s">
        <v>55</v>
      </c>
      <c r="G10" s="3">
        <v>73</v>
      </c>
      <c r="H10" s="3">
        <v>71</v>
      </c>
      <c r="I10" s="3">
        <v>39</v>
      </c>
      <c r="J10" s="20" t="s">
        <v>71</v>
      </c>
      <c r="K10" s="26" t="s">
        <v>190</v>
      </c>
      <c r="L10" s="39" t="s">
        <v>196</v>
      </c>
      <c r="M10" s="14" t="s">
        <v>56</v>
      </c>
      <c r="N10" s="3">
        <v>73</v>
      </c>
      <c r="O10" s="3">
        <v>71</v>
      </c>
      <c r="P10" s="30">
        <v>0.9726027397260274</v>
      </c>
      <c r="Q10" s="3">
        <v>2</v>
      </c>
      <c r="R10" s="3">
        <v>71</v>
      </c>
      <c r="S10" s="3">
        <v>144</v>
      </c>
      <c r="T10" s="31">
        <v>2.028169014084507</v>
      </c>
      <c r="U10" s="3">
        <v>39</v>
      </c>
      <c r="V10" s="30">
        <v>0.53424657534246578</v>
      </c>
    </row>
    <row r="11" spans="1:22" ht="15.5" x14ac:dyDescent="0.35">
      <c r="A11" s="1" t="s">
        <v>25</v>
      </c>
      <c r="B11" s="1">
        <v>2</v>
      </c>
      <c r="C11" s="1" t="s">
        <v>199</v>
      </c>
      <c r="D11" s="13">
        <v>46023</v>
      </c>
      <c r="E11" s="3">
        <v>2018</v>
      </c>
      <c r="F11" s="5" t="s">
        <v>57</v>
      </c>
      <c r="G11" s="3">
        <v>0</v>
      </c>
      <c r="H11" s="3">
        <v>0</v>
      </c>
      <c r="I11" s="3">
        <v>0</v>
      </c>
      <c r="J11" s="20" t="s">
        <v>71</v>
      </c>
      <c r="K11" s="26" t="s">
        <v>190</v>
      </c>
      <c r="L11" s="39" t="s">
        <v>196</v>
      </c>
      <c r="M11" s="14" t="s">
        <v>58</v>
      </c>
      <c r="N11" s="3">
        <v>74</v>
      </c>
      <c r="O11" s="3">
        <v>63</v>
      </c>
      <c r="P11" s="30">
        <v>0.85135135135135132</v>
      </c>
      <c r="Q11" s="3">
        <v>11</v>
      </c>
      <c r="R11" s="3">
        <v>63</v>
      </c>
      <c r="S11" s="3">
        <v>120</v>
      </c>
      <c r="T11" s="31">
        <v>1.9047619047619047</v>
      </c>
      <c r="U11" s="3">
        <v>40</v>
      </c>
      <c r="V11" s="30">
        <v>0.54054054054054057</v>
      </c>
    </row>
    <row r="12" spans="1:22" ht="15.5" x14ac:dyDescent="0.35">
      <c r="A12" s="1" t="s">
        <v>25</v>
      </c>
      <c r="B12" s="1">
        <v>1</v>
      </c>
      <c r="C12" s="1" t="s">
        <v>199</v>
      </c>
      <c r="D12" s="13">
        <v>46032</v>
      </c>
      <c r="E12" s="3">
        <v>2074</v>
      </c>
      <c r="F12" s="5" t="s">
        <v>59</v>
      </c>
      <c r="G12" s="3">
        <v>0</v>
      </c>
      <c r="H12" s="3">
        <v>0</v>
      </c>
      <c r="I12" s="3">
        <v>0</v>
      </c>
      <c r="J12" s="20" t="s">
        <v>71</v>
      </c>
      <c r="K12" s="26" t="s">
        <v>190</v>
      </c>
      <c r="L12" s="39" t="s">
        <v>196</v>
      </c>
      <c r="M12" s="14" t="s">
        <v>60</v>
      </c>
      <c r="N12" s="3">
        <v>95</v>
      </c>
      <c r="O12" s="3">
        <v>78</v>
      </c>
      <c r="P12" s="30">
        <v>0.82105263157894737</v>
      </c>
      <c r="Q12" s="3">
        <v>17</v>
      </c>
      <c r="R12" s="3">
        <v>78</v>
      </c>
      <c r="S12" s="3">
        <v>131</v>
      </c>
      <c r="T12" s="31">
        <v>1.6794871794871795</v>
      </c>
      <c r="U12" s="3">
        <v>24</v>
      </c>
      <c r="V12" s="30">
        <v>0.25263157894736843</v>
      </c>
    </row>
    <row r="13" spans="1:22" ht="15.5" x14ac:dyDescent="0.35">
      <c r="A13" s="1" t="s">
        <v>25</v>
      </c>
      <c r="B13" s="1">
        <v>66</v>
      </c>
      <c r="C13" s="40" t="s">
        <v>200</v>
      </c>
      <c r="D13" s="13" t="s">
        <v>61</v>
      </c>
      <c r="E13" s="3" t="s">
        <v>62</v>
      </c>
      <c r="F13" s="1" t="s">
        <v>63</v>
      </c>
      <c r="G13" s="3">
        <v>58</v>
      </c>
      <c r="H13" s="3">
        <v>0</v>
      </c>
      <c r="I13" s="3">
        <v>0</v>
      </c>
      <c r="J13" s="20" t="s">
        <v>71</v>
      </c>
      <c r="K13" s="26" t="s">
        <v>190</v>
      </c>
      <c r="L13" s="39" t="s">
        <v>196</v>
      </c>
      <c r="M13" s="14" t="s">
        <v>64</v>
      </c>
      <c r="N13" s="3">
        <v>58</v>
      </c>
      <c r="O13" s="3">
        <v>0</v>
      </c>
      <c r="P13" s="30">
        <v>0</v>
      </c>
      <c r="Q13" s="3">
        <v>58</v>
      </c>
      <c r="R13" s="3">
        <v>0</v>
      </c>
      <c r="S13" s="3">
        <v>0</v>
      </c>
      <c r="T13" s="31">
        <v>0</v>
      </c>
      <c r="U13" s="3">
        <v>0</v>
      </c>
      <c r="V13" s="30">
        <v>0</v>
      </c>
    </row>
    <row r="14" spans="1:22" ht="15.5" x14ac:dyDescent="0.35">
      <c r="A14" s="1" t="s">
        <v>25</v>
      </c>
      <c r="B14" s="1">
        <v>26</v>
      </c>
      <c r="C14" s="40" t="s">
        <v>200</v>
      </c>
      <c r="D14" s="13" t="s">
        <v>12</v>
      </c>
      <c r="E14" s="3" t="s">
        <v>65</v>
      </c>
      <c r="F14" s="1" t="s">
        <v>0</v>
      </c>
      <c r="G14" s="3">
        <v>79</v>
      </c>
      <c r="H14" s="3">
        <v>69</v>
      </c>
      <c r="I14" s="3">
        <v>32</v>
      </c>
      <c r="J14" s="20" t="s">
        <v>71</v>
      </c>
      <c r="K14" s="26" t="s">
        <v>190</v>
      </c>
      <c r="L14" s="39" t="s">
        <v>196</v>
      </c>
      <c r="M14" s="14" t="s">
        <v>66</v>
      </c>
      <c r="N14" s="3">
        <v>79</v>
      </c>
      <c r="O14" s="3">
        <v>69</v>
      </c>
      <c r="P14" s="30">
        <v>0.87341772151898733</v>
      </c>
      <c r="Q14" s="3">
        <v>10</v>
      </c>
      <c r="R14" s="3">
        <v>69</v>
      </c>
      <c r="S14" s="3">
        <v>127</v>
      </c>
      <c r="T14" s="31">
        <v>1.8405797101449275</v>
      </c>
      <c r="U14" s="3">
        <v>32</v>
      </c>
      <c r="V14" s="30">
        <v>0.4050632911392405</v>
      </c>
    </row>
    <row r="15" spans="1:22" ht="15.5" x14ac:dyDescent="0.35">
      <c r="A15" s="1" t="s">
        <v>25</v>
      </c>
      <c r="B15" s="1">
        <v>1</v>
      </c>
      <c r="C15" s="1" t="s">
        <v>199</v>
      </c>
      <c r="D15" s="13">
        <v>46033</v>
      </c>
      <c r="E15" s="3">
        <v>2075</v>
      </c>
      <c r="F15" s="5" t="s">
        <v>67</v>
      </c>
      <c r="G15" s="3">
        <v>0</v>
      </c>
      <c r="H15" s="3">
        <v>0</v>
      </c>
      <c r="I15" s="3">
        <v>0</v>
      </c>
      <c r="J15" s="20" t="s">
        <v>71</v>
      </c>
      <c r="K15" s="26" t="s">
        <v>190</v>
      </c>
      <c r="L15" s="39" t="s">
        <v>196</v>
      </c>
      <c r="M15" s="14" t="s">
        <v>68</v>
      </c>
      <c r="N15" s="3">
        <v>77</v>
      </c>
      <c r="O15" s="3">
        <v>74</v>
      </c>
      <c r="P15" s="30">
        <v>0.96103896103896103</v>
      </c>
      <c r="Q15" s="3">
        <v>3</v>
      </c>
      <c r="R15" s="3">
        <v>75</v>
      </c>
      <c r="S15" s="3">
        <v>164</v>
      </c>
      <c r="T15" s="31">
        <v>2.1866666666666665</v>
      </c>
      <c r="U15" s="3">
        <v>43</v>
      </c>
      <c r="V15" s="30">
        <v>0.55844155844155841</v>
      </c>
    </row>
    <row r="16" spans="1:22" ht="15.5" x14ac:dyDescent="0.35">
      <c r="A16" s="1" t="s">
        <v>25</v>
      </c>
      <c r="B16" s="1">
        <v>2</v>
      </c>
      <c r="C16" s="1" t="s">
        <v>199</v>
      </c>
      <c r="D16" s="13">
        <v>46023</v>
      </c>
      <c r="E16" s="3">
        <v>2019</v>
      </c>
      <c r="F16" s="5" t="s">
        <v>69</v>
      </c>
      <c r="G16" s="3">
        <v>0</v>
      </c>
      <c r="H16" s="3">
        <v>0</v>
      </c>
      <c r="I16" s="3">
        <v>0</v>
      </c>
      <c r="J16" s="20" t="s">
        <v>71</v>
      </c>
      <c r="K16" s="26" t="s">
        <v>190</v>
      </c>
      <c r="L16" s="39" t="s">
        <v>196</v>
      </c>
      <c r="M16" s="14" t="s">
        <v>70</v>
      </c>
      <c r="N16" s="3">
        <v>82</v>
      </c>
      <c r="O16" s="3">
        <v>76</v>
      </c>
      <c r="P16" s="30">
        <v>0.92682926829268297</v>
      </c>
      <c r="Q16" s="3">
        <v>6</v>
      </c>
      <c r="R16" s="3">
        <v>77</v>
      </c>
      <c r="S16" s="3">
        <v>147</v>
      </c>
      <c r="T16" s="31">
        <v>1.9090909090909092</v>
      </c>
      <c r="U16" s="3">
        <v>42</v>
      </c>
      <c r="V16" s="30">
        <v>0.51219512195121952</v>
      </c>
    </row>
    <row r="17" spans="1:22" ht="15.5" x14ac:dyDescent="0.35">
      <c r="A17" s="1" t="s">
        <v>25</v>
      </c>
      <c r="B17" s="1">
        <v>18</v>
      </c>
      <c r="C17" s="40" t="s">
        <v>200</v>
      </c>
      <c r="D17" s="13" t="s">
        <v>16</v>
      </c>
      <c r="E17" s="3" t="s">
        <v>73</v>
      </c>
      <c r="F17" s="6" t="s">
        <v>74</v>
      </c>
      <c r="G17" s="3">
        <v>102</v>
      </c>
      <c r="H17" s="3">
        <v>93</v>
      </c>
      <c r="I17" s="3">
        <v>57</v>
      </c>
      <c r="J17" s="11" t="s">
        <v>95</v>
      </c>
      <c r="K17" s="26" t="s">
        <v>190</v>
      </c>
      <c r="L17" s="39" t="s">
        <v>196</v>
      </c>
      <c r="M17" s="14" t="s">
        <v>75</v>
      </c>
      <c r="N17" s="3">
        <v>102</v>
      </c>
      <c r="O17" s="3">
        <v>93</v>
      </c>
      <c r="P17" s="30">
        <v>0.91176470588235292</v>
      </c>
      <c r="Q17" s="3">
        <v>9</v>
      </c>
      <c r="R17" s="3">
        <v>93</v>
      </c>
      <c r="S17" s="3">
        <v>163</v>
      </c>
      <c r="T17" s="31">
        <v>1.7526881720430108</v>
      </c>
      <c r="U17" s="3">
        <v>57</v>
      </c>
      <c r="V17" s="30">
        <v>0.55882352941176472</v>
      </c>
    </row>
    <row r="18" spans="1:22" ht="15.5" x14ac:dyDescent="0.35">
      <c r="A18" s="1" t="s">
        <v>25</v>
      </c>
      <c r="B18" s="1">
        <v>2</v>
      </c>
      <c r="C18" s="1" t="s">
        <v>199</v>
      </c>
      <c r="D18" s="13">
        <v>46023</v>
      </c>
      <c r="E18" s="3">
        <v>2020</v>
      </c>
      <c r="F18" s="5" t="s">
        <v>76</v>
      </c>
      <c r="G18" s="3">
        <v>0</v>
      </c>
      <c r="H18" s="3">
        <v>0</v>
      </c>
      <c r="I18" s="3">
        <v>0</v>
      </c>
      <c r="J18" s="11" t="s">
        <v>95</v>
      </c>
      <c r="K18" s="26" t="s">
        <v>190</v>
      </c>
      <c r="L18" s="39" t="s">
        <v>196</v>
      </c>
      <c r="M18" s="14" t="s">
        <v>77</v>
      </c>
      <c r="N18" s="3">
        <v>95</v>
      </c>
      <c r="O18" s="3">
        <v>75</v>
      </c>
      <c r="P18" s="30">
        <v>0.78947368421052633</v>
      </c>
      <c r="Q18" s="3">
        <v>20</v>
      </c>
      <c r="R18" s="3">
        <v>83</v>
      </c>
      <c r="S18" s="3">
        <v>156</v>
      </c>
      <c r="T18" s="31">
        <v>1.8795180722891567</v>
      </c>
      <c r="U18" s="3">
        <v>46</v>
      </c>
      <c r="V18" s="30">
        <v>0.48421052631578948</v>
      </c>
    </row>
    <row r="19" spans="1:22" ht="15.5" x14ac:dyDescent="0.35">
      <c r="A19" s="1" t="s">
        <v>25</v>
      </c>
      <c r="B19" s="1">
        <v>1</v>
      </c>
      <c r="C19" s="1" t="s">
        <v>199</v>
      </c>
      <c r="D19" s="13">
        <v>46032</v>
      </c>
      <c r="E19" s="3">
        <v>2039</v>
      </c>
      <c r="F19" s="5" t="s">
        <v>78</v>
      </c>
      <c r="G19" s="3">
        <v>0</v>
      </c>
      <c r="H19" s="3">
        <v>0</v>
      </c>
      <c r="I19" s="3">
        <v>0</v>
      </c>
      <c r="J19" s="11" t="s">
        <v>95</v>
      </c>
      <c r="K19" s="26" t="s">
        <v>190</v>
      </c>
      <c r="L19" s="39" t="s">
        <v>196</v>
      </c>
      <c r="M19" s="14" t="s">
        <v>79</v>
      </c>
      <c r="N19" s="3">
        <v>83</v>
      </c>
      <c r="O19" s="3">
        <v>66</v>
      </c>
      <c r="P19" s="30">
        <v>0.79518072289156627</v>
      </c>
      <c r="Q19" s="3">
        <v>17</v>
      </c>
      <c r="R19" s="3">
        <v>82</v>
      </c>
      <c r="S19" s="3">
        <v>131</v>
      </c>
      <c r="T19" s="31">
        <v>1.5975609756097562</v>
      </c>
      <c r="U19" s="3">
        <v>31</v>
      </c>
      <c r="V19" s="30">
        <v>0.37349397590361444</v>
      </c>
    </row>
    <row r="20" spans="1:22" ht="15.5" x14ac:dyDescent="0.35">
      <c r="A20" s="1" t="s">
        <v>25</v>
      </c>
      <c r="B20" s="1">
        <v>26</v>
      </c>
      <c r="C20" s="40" t="s">
        <v>200</v>
      </c>
      <c r="D20" s="13" t="s">
        <v>12</v>
      </c>
      <c r="E20" s="3" t="s">
        <v>80</v>
      </c>
      <c r="F20" s="1" t="s">
        <v>81</v>
      </c>
      <c r="G20" s="3">
        <v>87</v>
      </c>
      <c r="H20" s="3">
        <v>86</v>
      </c>
      <c r="I20" s="3">
        <v>56</v>
      </c>
      <c r="J20" s="11" t="s">
        <v>95</v>
      </c>
      <c r="K20" s="26" t="s">
        <v>190</v>
      </c>
      <c r="L20" s="39" t="s">
        <v>196</v>
      </c>
      <c r="M20" s="14" t="s">
        <v>82</v>
      </c>
      <c r="N20" s="3">
        <v>87</v>
      </c>
      <c r="O20" s="3">
        <v>86</v>
      </c>
      <c r="P20" s="30">
        <v>0.9885057471264368</v>
      </c>
      <c r="Q20" s="3">
        <v>1</v>
      </c>
      <c r="R20" s="3">
        <v>87</v>
      </c>
      <c r="S20" s="3">
        <v>158</v>
      </c>
      <c r="T20" s="31">
        <v>1.8160919540229885</v>
      </c>
      <c r="U20" s="3">
        <v>56</v>
      </c>
      <c r="V20" s="30">
        <v>0.64367816091954022</v>
      </c>
    </row>
    <row r="21" spans="1:22" ht="15.5" x14ac:dyDescent="0.35">
      <c r="A21" s="1" t="s">
        <v>25</v>
      </c>
      <c r="B21" s="1">
        <v>23</v>
      </c>
      <c r="C21" s="40" t="s">
        <v>200</v>
      </c>
      <c r="D21" s="13" t="s">
        <v>83</v>
      </c>
      <c r="E21" s="3" t="s">
        <v>84</v>
      </c>
      <c r="F21" s="1" t="s">
        <v>85</v>
      </c>
      <c r="G21" s="3">
        <v>83</v>
      </c>
      <c r="H21" s="3">
        <v>75</v>
      </c>
      <c r="I21" s="3">
        <v>55</v>
      </c>
      <c r="J21" s="11" t="s">
        <v>95</v>
      </c>
      <c r="K21" s="26" t="s">
        <v>190</v>
      </c>
      <c r="L21" s="39" t="s">
        <v>196</v>
      </c>
      <c r="M21" s="14" t="s">
        <v>86</v>
      </c>
      <c r="N21" s="3">
        <v>83</v>
      </c>
      <c r="O21" s="3">
        <v>75</v>
      </c>
      <c r="P21" s="30">
        <v>0.90361445783132532</v>
      </c>
      <c r="Q21" s="3">
        <v>8</v>
      </c>
      <c r="R21" s="3">
        <v>75</v>
      </c>
      <c r="S21" s="3">
        <v>123</v>
      </c>
      <c r="T21" s="31">
        <v>1.64</v>
      </c>
      <c r="U21" s="3">
        <v>55</v>
      </c>
      <c r="V21" s="30">
        <v>0.66265060240963858</v>
      </c>
    </row>
    <row r="22" spans="1:22" ht="15.5" x14ac:dyDescent="0.35">
      <c r="A22" s="1" t="s">
        <v>25</v>
      </c>
      <c r="B22" s="1">
        <v>2</v>
      </c>
      <c r="C22" s="1" t="s">
        <v>199</v>
      </c>
      <c r="D22" s="13">
        <v>46023</v>
      </c>
      <c r="E22" s="3">
        <v>2021</v>
      </c>
      <c r="F22" s="5" t="s">
        <v>87</v>
      </c>
      <c r="G22" s="3">
        <v>0</v>
      </c>
      <c r="H22" s="3">
        <v>0</v>
      </c>
      <c r="I22" s="3">
        <v>0</v>
      </c>
      <c r="J22" s="11" t="s">
        <v>95</v>
      </c>
      <c r="K22" s="26" t="s">
        <v>190</v>
      </c>
      <c r="L22" s="39" t="s">
        <v>196</v>
      </c>
      <c r="M22" s="14" t="s">
        <v>88</v>
      </c>
      <c r="N22" s="3">
        <v>76</v>
      </c>
      <c r="O22" s="3">
        <v>76</v>
      </c>
      <c r="P22" s="30">
        <v>1</v>
      </c>
      <c r="Q22" s="3">
        <v>0</v>
      </c>
      <c r="R22" s="3">
        <v>76</v>
      </c>
      <c r="S22" s="3">
        <v>169</v>
      </c>
      <c r="T22" s="31">
        <v>2.2236842105263159</v>
      </c>
      <c r="U22" s="3">
        <v>69</v>
      </c>
      <c r="V22" s="30">
        <v>0.90789473684210531</v>
      </c>
    </row>
    <row r="23" spans="1:22" ht="15.5" x14ac:dyDescent="0.35">
      <c r="A23" s="1" t="s">
        <v>25</v>
      </c>
      <c r="B23" s="1">
        <v>67</v>
      </c>
      <c r="C23" s="40" t="s">
        <v>200</v>
      </c>
      <c r="D23" s="13" t="s">
        <v>14</v>
      </c>
      <c r="E23" s="3" t="s">
        <v>89</v>
      </c>
      <c r="F23" s="1" t="s">
        <v>90</v>
      </c>
      <c r="G23" s="3">
        <v>77</v>
      </c>
      <c r="H23" s="3">
        <v>73</v>
      </c>
      <c r="I23" s="3">
        <v>27</v>
      </c>
      <c r="J23" s="11" t="s">
        <v>95</v>
      </c>
      <c r="K23" s="26" t="s">
        <v>190</v>
      </c>
      <c r="L23" s="39" t="s">
        <v>196</v>
      </c>
      <c r="M23" s="14" t="s">
        <v>91</v>
      </c>
      <c r="N23" s="3">
        <v>77</v>
      </c>
      <c r="O23" s="3">
        <v>73</v>
      </c>
      <c r="P23" s="30">
        <v>0.94805194805194803</v>
      </c>
      <c r="Q23" s="3">
        <v>4</v>
      </c>
      <c r="R23" s="3">
        <v>73</v>
      </c>
      <c r="S23" s="3">
        <v>163</v>
      </c>
      <c r="T23" s="31">
        <v>2.2328767123287672</v>
      </c>
      <c r="U23" s="3">
        <v>27</v>
      </c>
      <c r="V23" s="30">
        <v>0.35064935064935066</v>
      </c>
    </row>
    <row r="24" spans="1:22" ht="15.5" x14ac:dyDescent="0.35">
      <c r="A24" s="1" t="s">
        <v>25</v>
      </c>
      <c r="B24" s="1">
        <v>26</v>
      </c>
      <c r="C24" s="40" t="s">
        <v>200</v>
      </c>
      <c r="D24" s="13" t="s">
        <v>12</v>
      </c>
      <c r="E24" s="3" t="s">
        <v>92</v>
      </c>
      <c r="F24" s="1" t="s">
        <v>93</v>
      </c>
      <c r="G24" s="3">
        <v>66</v>
      </c>
      <c r="H24" s="3">
        <v>61</v>
      </c>
      <c r="I24" s="3">
        <v>19</v>
      </c>
      <c r="J24" s="11" t="s">
        <v>95</v>
      </c>
      <c r="K24" s="26" t="s">
        <v>190</v>
      </c>
      <c r="L24" s="39" t="s">
        <v>196</v>
      </c>
      <c r="M24" s="14" t="s">
        <v>94</v>
      </c>
      <c r="N24" s="3">
        <v>66</v>
      </c>
      <c r="O24" s="3">
        <v>61</v>
      </c>
      <c r="P24" s="30">
        <v>0.9242424242424242</v>
      </c>
      <c r="Q24" s="3">
        <v>5</v>
      </c>
      <c r="R24" s="3">
        <v>62</v>
      </c>
      <c r="S24" s="3">
        <v>150</v>
      </c>
      <c r="T24" s="31">
        <v>2.4193548387096775</v>
      </c>
      <c r="U24" s="3">
        <v>19</v>
      </c>
      <c r="V24" s="30">
        <v>0.2878787878787879</v>
      </c>
    </row>
    <row r="25" spans="1:22" ht="15.5" x14ac:dyDescent="0.35">
      <c r="A25" s="1" t="s">
        <v>25</v>
      </c>
      <c r="B25" s="1">
        <v>2</v>
      </c>
      <c r="C25" s="1" t="s">
        <v>199</v>
      </c>
      <c r="D25" s="13">
        <v>46023</v>
      </c>
      <c r="E25" s="3">
        <v>1992</v>
      </c>
      <c r="F25" s="5" t="s">
        <v>97</v>
      </c>
      <c r="G25" s="3">
        <v>0</v>
      </c>
      <c r="H25" s="3">
        <v>0</v>
      </c>
      <c r="I25" s="3">
        <v>0</v>
      </c>
      <c r="J25" s="20" t="s">
        <v>113</v>
      </c>
      <c r="K25" s="26" t="s">
        <v>190</v>
      </c>
      <c r="L25" s="39" t="s">
        <v>196</v>
      </c>
      <c r="M25" s="14" t="s">
        <v>98</v>
      </c>
      <c r="N25" s="3">
        <v>78</v>
      </c>
      <c r="O25" s="3">
        <v>68</v>
      </c>
      <c r="P25" s="30">
        <v>0.87179487179487181</v>
      </c>
      <c r="Q25" s="3">
        <v>10</v>
      </c>
      <c r="R25" s="3">
        <v>81</v>
      </c>
      <c r="S25" s="3">
        <v>162</v>
      </c>
      <c r="T25" s="31">
        <v>2</v>
      </c>
      <c r="U25" s="3">
        <v>38</v>
      </c>
      <c r="V25" s="30">
        <v>0.48717948717948717</v>
      </c>
    </row>
    <row r="26" spans="1:22" ht="15.5" x14ac:dyDescent="0.35">
      <c r="A26" s="1" t="s">
        <v>25</v>
      </c>
      <c r="B26" s="1">
        <v>2</v>
      </c>
      <c r="C26" s="1" t="s">
        <v>199</v>
      </c>
      <c r="D26" s="13">
        <v>46023</v>
      </c>
      <c r="E26" s="3">
        <v>1995</v>
      </c>
      <c r="F26" s="5" t="s">
        <v>99</v>
      </c>
      <c r="G26" s="3">
        <v>0</v>
      </c>
      <c r="H26" s="3">
        <v>0</v>
      </c>
      <c r="I26" s="3">
        <v>0</v>
      </c>
      <c r="J26" s="20" t="s">
        <v>113</v>
      </c>
      <c r="K26" s="26" t="s">
        <v>190</v>
      </c>
      <c r="L26" s="39" t="s">
        <v>196</v>
      </c>
      <c r="M26" s="14" t="s">
        <v>100</v>
      </c>
      <c r="N26" s="3">
        <v>72</v>
      </c>
      <c r="O26" s="3">
        <v>66</v>
      </c>
      <c r="P26" s="30">
        <v>0.91666666666666663</v>
      </c>
      <c r="Q26" s="3">
        <v>6</v>
      </c>
      <c r="R26" s="3">
        <v>78</v>
      </c>
      <c r="S26" s="3">
        <v>155</v>
      </c>
      <c r="T26" s="31">
        <v>1.9871794871794872</v>
      </c>
      <c r="U26" s="3">
        <v>48</v>
      </c>
      <c r="V26" s="30">
        <v>0.66666666666666663</v>
      </c>
    </row>
    <row r="27" spans="1:22" ht="15.5" x14ac:dyDescent="0.35">
      <c r="A27" s="1" t="s">
        <v>25</v>
      </c>
      <c r="B27" s="1">
        <v>2</v>
      </c>
      <c r="C27" s="1" t="s">
        <v>199</v>
      </c>
      <c r="D27" s="13">
        <v>46023</v>
      </c>
      <c r="E27" s="3">
        <v>1994</v>
      </c>
      <c r="F27" s="5" t="s">
        <v>101</v>
      </c>
      <c r="G27" s="3">
        <v>0</v>
      </c>
      <c r="H27" s="3">
        <v>0</v>
      </c>
      <c r="I27" s="3">
        <v>0</v>
      </c>
      <c r="J27" s="20" t="s">
        <v>113</v>
      </c>
      <c r="K27" s="26" t="s">
        <v>190</v>
      </c>
      <c r="L27" s="39" t="s">
        <v>196</v>
      </c>
      <c r="M27" s="14" t="s">
        <v>102</v>
      </c>
      <c r="N27" s="3">
        <v>96</v>
      </c>
      <c r="O27" s="3">
        <v>69</v>
      </c>
      <c r="P27" s="30">
        <v>0.71875</v>
      </c>
      <c r="Q27" s="3">
        <v>27</v>
      </c>
      <c r="R27" s="3">
        <v>75</v>
      </c>
      <c r="S27" s="3">
        <v>139</v>
      </c>
      <c r="T27" s="31">
        <v>1.8533333333333333</v>
      </c>
      <c r="U27" s="3">
        <v>38</v>
      </c>
      <c r="V27" s="30">
        <v>0.39583333333333331</v>
      </c>
    </row>
    <row r="28" spans="1:22" ht="15.5" x14ac:dyDescent="0.35">
      <c r="A28" s="1" t="s">
        <v>25</v>
      </c>
      <c r="B28" s="1">
        <v>2</v>
      </c>
      <c r="C28" s="1" t="s">
        <v>199</v>
      </c>
      <c r="D28" s="13">
        <v>46023</v>
      </c>
      <c r="E28" s="3">
        <v>1993</v>
      </c>
      <c r="F28" s="5" t="s">
        <v>105</v>
      </c>
      <c r="G28" s="3">
        <v>0</v>
      </c>
      <c r="H28" s="3">
        <v>0</v>
      </c>
      <c r="I28" s="3">
        <v>0</v>
      </c>
      <c r="J28" s="20" t="s">
        <v>113</v>
      </c>
      <c r="K28" s="26" t="s">
        <v>190</v>
      </c>
      <c r="L28" s="39" t="s">
        <v>196</v>
      </c>
      <c r="M28" s="14" t="s">
        <v>106</v>
      </c>
      <c r="N28" s="3">
        <v>90</v>
      </c>
      <c r="O28" s="3">
        <v>53</v>
      </c>
      <c r="P28" s="30">
        <v>0.58888888888888891</v>
      </c>
      <c r="Q28" s="3">
        <v>37</v>
      </c>
      <c r="R28" s="3">
        <v>86</v>
      </c>
      <c r="S28" s="3">
        <v>141</v>
      </c>
      <c r="T28" s="31">
        <v>1.6395348837209303</v>
      </c>
      <c r="U28" s="3">
        <v>20</v>
      </c>
      <c r="V28" s="30">
        <v>0.22222222222222221</v>
      </c>
    </row>
    <row r="29" spans="1:22" ht="15.5" x14ac:dyDescent="0.35">
      <c r="A29" s="1" t="s">
        <v>25</v>
      </c>
      <c r="B29" s="1">
        <v>1</v>
      </c>
      <c r="C29" s="1" t="s">
        <v>199</v>
      </c>
      <c r="D29" s="13">
        <v>46054</v>
      </c>
      <c r="E29" s="3">
        <v>2133</v>
      </c>
      <c r="F29" s="5" t="s">
        <v>107</v>
      </c>
      <c r="G29" s="3">
        <v>0</v>
      </c>
      <c r="H29" s="3">
        <v>0</v>
      </c>
      <c r="I29" s="3">
        <v>0</v>
      </c>
      <c r="J29" s="20" t="s">
        <v>113</v>
      </c>
      <c r="K29" s="26" t="s">
        <v>190</v>
      </c>
      <c r="L29" s="39" t="s">
        <v>196</v>
      </c>
      <c r="M29" s="14" t="s">
        <v>108</v>
      </c>
      <c r="N29" s="3">
        <v>71</v>
      </c>
      <c r="O29" s="3">
        <v>31</v>
      </c>
      <c r="P29" s="30">
        <v>0.43661971830985913</v>
      </c>
      <c r="Q29" s="3">
        <v>40</v>
      </c>
      <c r="R29" s="3">
        <v>36</v>
      </c>
      <c r="S29" s="3">
        <v>40</v>
      </c>
      <c r="T29" s="31">
        <v>1.1111111111111112</v>
      </c>
      <c r="U29" s="3">
        <v>6</v>
      </c>
      <c r="V29" s="30">
        <v>8.4507042253521125E-2</v>
      </c>
    </row>
    <row r="30" spans="1:22" ht="15.5" x14ac:dyDescent="0.35">
      <c r="A30" s="1" t="s">
        <v>25</v>
      </c>
      <c r="B30" s="1">
        <v>28</v>
      </c>
      <c r="C30" s="40" t="s">
        <v>200</v>
      </c>
      <c r="D30" s="13" t="s">
        <v>109</v>
      </c>
      <c r="E30" s="3" t="s">
        <v>110</v>
      </c>
      <c r="F30" s="1" t="s">
        <v>111</v>
      </c>
      <c r="G30" s="3">
        <v>79</v>
      </c>
      <c r="H30" s="3">
        <v>70</v>
      </c>
      <c r="I30" s="3">
        <v>25</v>
      </c>
      <c r="J30" s="20" t="s">
        <v>113</v>
      </c>
      <c r="K30" s="26" t="s">
        <v>190</v>
      </c>
      <c r="L30" s="39" t="s">
        <v>196</v>
      </c>
      <c r="M30" s="14" t="s">
        <v>112</v>
      </c>
      <c r="N30" s="3">
        <v>79</v>
      </c>
      <c r="O30" s="3">
        <v>70</v>
      </c>
      <c r="P30" s="30">
        <v>0.88607594936708856</v>
      </c>
      <c r="Q30" s="3">
        <v>9</v>
      </c>
      <c r="R30" s="3">
        <v>72</v>
      </c>
      <c r="S30" s="3">
        <v>147</v>
      </c>
      <c r="T30" s="31">
        <v>2.0416666666666665</v>
      </c>
      <c r="U30" s="3">
        <v>25</v>
      </c>
      <c r="V30" s="30">
        <v>0.31645569620253167</v>
      </c>
    </row>
    <row r="31" spans="1:22" ht="15.5" x14ac:dyDescent="0.35">
      <c r="A31" s="1" t="s">
        <v>25</v>
      </c>
      <c r="B31" s="1">
        <v>1</v>
      </c>
      <c r="C31" s="1" t="s">
        <v>199</v>
      </c>
      <c r="D31" s="13">
        <v>46032</v>
      </c>
      <c r="E31" s="3">
        <v>2024</v>
      </c>
      <c r="F31" s="5" t="s">
        <v>115</v>
      </c>
      <c r="G31" s="3">
        <v>0</v>
      </c>
      <c r="H31" s="3">
        <v>0</v>
      </c>
      <c r="I31" s="3">
        <v>0</v>
      </c>
      <c r="J31" s="9" t="s">
        <v>138</v>
      </c>
      <c r="K31" s="26" t="s">
        <v>190</v>
      </c>
      <c r="L31" s="39" t="s">
        <v>196</v>
      </c>
      <c r="M31" s="14" t="s">
        <v>116</v>
      </c>
      <c r="N31" s="3">
        <v>76</v>
      </c>
      <c r="O31" s="3">
        <v>72</v>
      </c>
      <c r="P31" s="30">
        <v>0.94736842105263153</v>
      </c>
      <c r="Q31" s="3">
        <v>4</v>
      </c>
      <c r="R31" s="3">
        <v>73</v>
      </c>
      <c r="S31" s="3">
        <v>163</v>
      </c>
      <c r="T31" s="31">
        <v>2.2328767123287672</v>
      </c>
      <c r="U31" s="3">
        <v>63</v>
      </c>
      <c r="V31" s="30">
        <v>0.82894736842105265</v>
      </c>
    </row>
    <row r="32" spans="1:22" ht="15.5" x14ac:dyDescent="0.35">
      <c r="A32" s="1" t="s">
        <v>25</v>
      </c>
      <c r="B32" s="1">
        <v>10</v>
      </c>
      <c r="C32" s="40" t="s">
        <v>200</v>
      </c>
      <c r="D32" s="13" t="s">
        <v>117</v>
      </c>
      <c r="E32" s="3" t="s">
        <v>118</v>
      </c>
      <c r="F32" s="21" t="s">
        <v>119</v>
      </c>
      <c r="G32" s="3">
        <v>67</v>
      </c>
      <c r="H32" s="3">
        <v>66</v>
      </c>
      <c r="I32" s="3">
        <v>64</v>
      </c>
      <c r="J32" s="9" t="s">
        <v>138</v>
      </c>
      <c r="K32" s="26" t="s">
        <v>190</v>
      </c>
      <c r="L32" s="39" t="s">
        <v>196</v>
      </c>
      <c r="M32" s="14" t="s">
        <v>120</v>
      </c>
      <c r="N32" s="3">
        <v>67</v>
      </c>
      <c r="O32" s="3">
        <v>66</v>
      </c>
      <c r="P32" s="30">
        <v>0.9850746268656716</v>
      </c>
      <c r="Q32" s="3">
        <v>1</v>
      </c>
      <c r="R32" s="3">
        <v>67</v>
      </c>
      <c r="S32" s="3">
        <v>129</v>
      </c>
      <c r="T32" s="31">
        <v>1.9253731343283582</v>
      </c>
      <c r="U32" s="3">
        <v>64</v>
      </c>
      <c r="V32" s="30">
        <v>0.95522388059701491</v>
      </c>
    </row>
    <row r="33" spans="1:22" ht="15.5" x14ac:dyDescent="0.35">
      <c r="A33" s="1" t="s">
        <v>25</v>
      </c>
      <c r="B33" s="1">
        <v>2</v>
      </c>
      <c r="C33" s="1" t="s">
        <v>199</v>
      </c>
      <c r="D33" s="13">
        <v>46023</v>
      </c>
      <c r="E33" s="3">
        <v>2023</v>
      </c>
      <c r="F33" s="5" t="s">
        <v>121</v>
      </c>
      <c r="G33" s="3">
        <v>0</v>
      </c>
      <c r="H33" s="3">
        <v>0</v>
      </c>
      <c r="I33" s="3">
        <v>0</v>
      </c>
      <c r="J33" s="9" t="s">
        <v>138</v>
      </c>
      <c r="K33" s="26" t="s">
        <v>190</v>
      </c>
      <c r="L33" s="39" t="s">
        <v>196</v>
      </c>
      <c r="M33" s="14" t="s">
        <v>122</v>
      </c>
      <c r="N33" s="3">
        <v>68</v>
      </c>
      <c r="O33" s="3">
        <v>59</v>
      </c>
      <c r="P33" s="30">
        <v>0.86764705882352944</v>
      </c>
      <c r="Q33" s="3">
        <v>9</v>
      </c>
      <c r="R33" s="3">
        <v>60</v>
      </c>
      <c r="S33" s="3">
        <v>120</v>
      </c>
      <c r="T33" s="31">
        <v>2</v>
      </c>
      <c r="U33" s="3">
        <v>43</v>
      </c>
      <c r="V33" s="30">
        <v>0.63235294117647056</v>
      </c>
    </row>
    <row r="34" spans="1:22" ht="15.5" x14ac:dyDescent="0.35">
      <c r="A34" s="1" t="s">
        <v>25</v>
      </c>
      <c r="B34" s="1">
        <v>6</v>
      </c>
      <c r="C34" s="40" t="s">
        <v>200</v>
      </c>
      <c r="D34" s="13" t="s">
        <v>123</v>
      </c>
      <c r="E34" s="3">
        <v>1757</v>
      </c>
      <c r="F34" s="1" t="s">
        <v>124</v>
      </c>
      <c r="G34" s="3">
        <v>70</v>
      </c>
      <c r="H34" s="3">
        <v>66</v>
      </c>
      <c r="I34" s="3">
        <v>56</v>
      </c>
      <c r="J34" s="9" t="s">
        <v>138</v>
      </c>
      <c r="K34" s="26" t="s">
        <v>190</v>
      </c>
      <c r="L34" s="39" t="s">
        <v>196</v>
      </c>
      <c r="M34" s="14" t="s">
        <v>125</v>
      </c>
      <c r="N34" s="3">
        <v>70</v>
      </c>
      <c r="O34" s="3">
        <v>66</v>
      </c>
      <c r="P34" s="30">
        <v>0.94285714285714284</v>
      </c>
      <c r="Q34" s="3">
        <v>4</v>
      </c>
      <c r="R34" s="3">
        <v>66</v>
      </c>
      <c r="S34" s="3">
        <v>122</v>
      </c>
      <c r="T34" s="31">
        <v>1.8484848484848484</v>
      </c>
      <c r="U34" s="3">
        <v>56</v>
      </c>
      <c r="V34" s="30">
        <v>0.8</v>
      </c>
    </row>
    <row r="35" spans="1:22" ht="15.5" x14ac:dyDescent="0.35">
      <c r="A35" s="1" t="s">
        <v>25</v>
      </c>
      <c r="B35" s="1">
        <v>26</v>
      </c>
      <c r="C35" s="40" t="s">
        <v>200</v>
      </c>
      <c r="D35" s="13" t="s">
        <v>12</v>
      </c>
      <c r="E35" s="3" t="s">
        <v>128</v>
      </c>
      <c r="F35" s="1" t="s">
        <v>129</v>
      </c>
      <c r="G35" s="3">
        <v>71</v>
      </c>
      <c r="H35" s="3">
        <v>71</v>
      </c>
      <c r="I35" s="3">
        <v>52</v>
      </c>
      <c r="J35" s="9" t="s">
        <v>138</v>
      </c>
      <c r="K35" s="26" t="s">
        <v>190</v>
      </c>
      <c r="L35" s="39" t="s">
        <v>196</v>
      </c>
      <c r="M35" s="22" t="s">
        <v>130</v>
      </c>
      <c r="N35" s="3">
        <v>71</v>
      </c>
      <c r="O35" s="3">
        <v>71</v>
      </c>
      <c r="P35" s="30">
        <v>1</v>
      </c>
      <c r="Q35" s="3">
        <v>0</v>
      </c>
      <c r="R35" s="3">
        <v>71</v>
      </c>
      <c r="S35" s="3">
        <v>129</v>
      </c>
      <c r="T35" s="31">
        <v>1.8169014084507042</v>
      </c>
      <c r="U35" s="3">
        <v>52</v>
      </c>
      <c r="V35" s="30">
        <v>0.73239436619718312</v>
      </c>
    </row>
    <row r="36" spans="1:22" ht="15.5" x14ac:dyDescent="0.35">
      <c r="A36" s="1" t="s">
        <v>25</v>
      </c>
      <c r="B36" s="1">
        <v>33</v>
      </c>
      <c r="C36" s="40" t="s">
        <v>200</v>
      </c>
      <c r="D36" s="13" t="s">
        <v>131</v>
      </c>
      <c r="E36" s="3" t="s">
        <v>132</v>
      </c>
      <c r="F36" s="1" t="s">
        <v>133</v>
      </c>
      <c r="G36" s="3">
        <v>66</v>
      </c>
      <c r="H36" s="3">
        <v>66</v>
      </c>
      <c r="I36" s="3">
        <v>49</v>
      </c>
      <c r="J36" s="9" t="s">
        <v>138</v>
      </c>
      <c r="K36" s="26" t="s">
        <v>190</v>
      </c>
      <c r="L36" s="39" t="s">
        <v>196</v>
      </c>
      <c r="M36" s="22" t="s">
        <v>134</v>
      </c>
      <c r="N36" s="3">
        <v>66</v>
      </c>
      <c r="O36" s="3">
        <v>66</v>
      </c>
      <c r="P36" s="30">
        <v>1</v>
      </c>
      <c r="Q36" s="3">
        <v>0</v>
      </c>
      <c r="R36" s="3">
        <v>66</v>
      </c>
      <c r="S36" s="3">
        <v>121</v>
      </c>
      <c r="T36" s="31">
        <v>1.8333333333333333</v>
      </c>
      <c r="U36" s="3">
        <v>49</v>
      </c>
      <c r="V36" s="30">
        <v>0.74242424242424243</v>
      </c>
    </row>
    <row r="37" spans="1:22" ht="15.5" x14ac:dyDescent="0.35">
      <c r="A37" s="1" t="s">
        <v>25</v>
      </c>
      <c r="B37" s="1">
        <v>1</v>
      </c>
      <c r="C37" s="1" t="s">
        <v>199</v>
      </c>
      <c r="D37" s="13">
        <v>46032</v>
      </c>
      <c r="E37" s="3">
        <v>2092</v>
      </c>
      <c r="F37" s="5" t="s">
        <v>135</v>
      </c>
      <c r="G37" s="3">
        <v>0</v>
      </c>
      <c r="H37" s="3">
        <v>0</v>
      </c>
      <c r="I37" s="3">
        <v>0</v>
      </c>
      <c r="J37" s="9" t="s">
        <v>138</v>
      </c>
      <c r="K37" s="26" t="s">
        <v>190</v>
      </c>
      <c r="L37" s="39" t="s">
        <v>196</v>
      </c>
      <c r="M37" s="22" t="s">
        <v>136</v>
      </c>
      <c r="N37" s="3">
        <v>63</v>
      </c>
      <c r="O37" s="3">
        <v>59</v>
      </c>
      <c r="P37" s="30">
        <v>0.93650793650793651</v>
      </c>
      <c r="Q37" s="3">
        <v>4</v>
      </c>
      <c r="R37" s="3">
        <v>67</v>
      </c>
      <c r="S37" s="3">
        <v>155</v>
      </c>
      <c r="T37" s="31">
        <v>2.3134328358208953</v>
      </c>
      <c r="U37" s="3">
        <v>47</v>
      </c>
      <c r="V37" s="30">
        <v>0.74603174603174605</v>
      </c>
    </row>
    <row r="38" spans="1:22" ht="15.5" x14ac:dyDescent="0.35">
      <c r="A38" s="1" t="s">
        <v>25</v>
      </c>
      <c r="B38" s="1">
        <v>33</v>
      </c>
      <c r="C38" s="40" t="s">
        <v>200</v>
      </c>
      <c r="D38" s="13" t="s">
        <v>141</v>
      </c>
      <c r="E38" s="3" t="s">
        <v>142</v>
      </c>
      <c r="F38" s="1" t="s">
        <v>143</v>
      </c>
      <c r="G38" s="3">
        <v>75</v>
      </c>
      <c r="H38" s="3">
        <v>71</v>
      </c>
      <c r="I38" s="3">
        <v>47</v>
      </c>
      <c r="J38" s="20" t="s">
        <v>153</v>
      </c>
      <c r="K38" s="26" t="s">
        <v>190</v>
      </c>
      <c r="L38" s="39" t="s">
        <v>196</v>
      </c>
      <c r="M38" s="14" t="s">
        <v>144</v>
      </c>
      <c r="N38" s="3">
        <v>75</v>
      </c>
      <c r="O38" s="3">
        <v>71</v>
      </c>
      <c r="P38" s="30">
        <v>0.94666666666666666</v>
      </c>
      <c r="Q38" s="3">
        <v>4</v>
      </c>
      <c r="R38" s="3">
        <v>76</v>
      </c>
      <c r="S38" s="3">
        <v>131</v>
      </c>
      <c r="T38" s="31">
        <v>1.7236842105263157</v>
      </c>
      <c r="U38" s="3">
        <v>47</v>
      </c>
      <c r="V38" s="30">
        <v>0.62666666666666671</v>
      </c>
    </row>
    <row r="39" spans="1:22" ht="15.5" x14ac:dyDescent="0.35">
      <c r="A39" s="1" t="s">
        <v>25</v>
      </c>
      <c r="B39" s="1">
        <v>24</v>
      </c>
      <c r="C39" s="40" t="s">
        <v>200</v>
      </c>
      <c r="D39" s="13" t="s">
        <v>13</v>
      </c>
      <c r="E39" s="3" t="s">
        <v>147</v>
      </c>
      <c r="F39" s="1" t="s">
        <v>148</v>
      </c>
      <c r="G39" s="3">
        <v>75</v>
      </c>
      <c r="H39" s="3">
        <v>73</v>
      </c>
      <c r="I39" s="3">
        <v>56</v>
      </c>
      <c r="J39" s="20" t="s">
        <v>153</v>
      </c>
      <c r="K39" s="26" t="s">
        <v>190</v>
      </c>
      <c r="L39" s="39" t="s">
        <v>196</v>
      </c>
      <c r="M39" s="14" t="s">
        <v>149</v>
      </c>
      <c r="N39" s="3">
        <v>75</v>
      </c>
      <c r="O39" s="3">
        <v>73</v>
      </c>
      <c r="P39" s="30">
        <v>0.97333333333333338</v>
      </c>
      <c r="Q39" s="3">
        <v>2</v>
      </c>
      <c r="R39" s="3">
        <v>75</v>
      </c>
      <c r="S39" s="3">
        <v>144</v>
      </c>
      <c r="T39" s="31">
        <v>1.92</v>
      </c>
      <c r="U39" s="3">
        <v>56</v>
      </c>
      <c r="V39" s="30">
        <v>0.7466666666666667</v>
      </c>
    </row>
    <row r="40" spans="1:22" ht="15.5" x14ac:dyDescent="0.35">
      <c r="A40" s="1" t="s">
        <v>25</v>
      </c>
      <c r="B40" s="1">
        <v>0</v>
      </c>
      <c r="C40" s="1" t="s">
        <v>199</v>
      </c>
      <c r="D40" s="13">
        <v>46066</v>
      </c>
      <c r="E40" s="3">
        <v>2132</v>
      </c>
      <c r="F40" s="5" t="s">
        <v>150</v>
      </c>
      <c r="G40" s="3">
        <v>0</v>
      </c>
      <c r="H40" s="3">
        <v>0</v>
      </c>
      <c r="I40" s="3">
        <v>0</v>
      </c>
      <c r="J40" s="20" t="s">
        <v>153</v>
      </c>
      <c r="K40" s="26" t="s">
        <v>190</v>
      </c>
      <c r="L40" s="39" t="s">
        <v>196</v>
      </c>
      <c r="M40" s="14" t="s">
        <v>151</v>
      </c>
      <c r="N40" s="3">
        <v>77</v>
      </c>
      <c r="O40" s="3">
        <v>5</v>
      </c>
      <c r="P40" s="30">
        <v>6.4935064935064929E-2</v>
      </c>
      <c r="Q40" s="3">
        <v>72</v>
      </c>
      <c r="R40" s="3">
        <v>6</v>
      </c>
      <c r="S40" s="3">
        <v>6</v>
      </c>
      <c r="T40" s="31">
        <v>1</v>
      </c>
      <c r="U40" s="3">
        <v>0</v>
      </c>
      <c r="V40" s="30">
        <v>0</v>
      </c>
    </row>
    <row r="41" spans="1:22" ht="15.5" x14ac:dyDescent="0.35">
      <c r="A41" s="1" t="s">
        <v>25</v>
      </c>
      <c r="B41" s="1">
        <v>2</v>
      </c>
      <c r="C41" s="1" t="s">
        <v>199</v>
      </c>
      <c r="D41" s="13">
        <v>46023</v>
      </c>
      <c r="E41" s="3">
        <v>2009</v>
      </c>
      <c r="F41" s="5" t="s">
        <v>155</v>
      </c>
      <c r="G41" s="3">
        <v>0</v>
      </c>
      <c r="H41" s="3">
        <v>0</v>
      </c>
      <c r="I41" s="3">
        <v>0</v>
      </c>
      <c r="J41" s="11" t="s">
        <v>195</v>
      </c>
      <c r="K41" s="26" t="s">
        <v>190</v>
      </c>
      <c r="L41" s="39" t="s">
        <v>196</v>
      </c>
      <c r="M41" s="14" t="s">
        <v>156</v>
      </c>
      <c r="N41" s="3">
        <v>84</v>
      </c>
      <c r="O41" s="3">
        <v>79</v>
      </c>
      <c r="P41" s="30">
        <v>0.94047619047619047</v>
      </c>
      <c r="Q41" s="3">
        <v>5</v>
      </c>
      <c r="R41" s="3">
        <v>79</v>
      </c>
      <c r="S41" s="3">
        <v>164</v>
      </c>
      <c r="T41" s="31">
        <v>2.0759493670886076</v>
      </c>
      <c r="U41" s="3">
        <v>42</v>
      </c>
      <c r="V41" s="30">
        <v>0.5</v>
      </c>
    </row>
    <row r="42" spans="1:22" ht="15.5" x14ac:dyDescent="0.35">
      <c r="A42" s="1" t="s">
        <v>25</v>
      </c>
      <c r="B42" s="1">
        <v>7</v>
      </c>
      <c r="C42" s="40" t="s">
        <v>200</v>
      </c>
      <c r="D42" s="13" t="s">
        <v>157</v>
      </c>
      <c r="E42" s="3" t="s">
        <v>158</v>
      </c>
      <c r="F42" s="1" t="s">
        <v>159</v>
      </c>
      <c r="G42" s="3">
        <v>90</v>
      </c>
      <c r="H42" s="3">
        <v>84</v>
      </c>
      <c r="I42" s="3">
        <v>73</v>
      </c>
      <c r="J42" s="11" t="s">
        <v>195</v>
      </c>
      <c r="K42" s="26" t="s">
        <v>190</v>
      </c>
      <c r="L42" s="39" t="s">
        <v>196</v>
      </c>
      <c r="M42" s="14" t="s">
        <v>160</v>
      </c>
      <c r="N42" s="3">
        <v>90</v>
      </c>
      <c r="O42" s="3">
        <v>84</v>
      </c>
      <c r="P42" s="30">
        <v>0.93333333333333335</v>
      </c>
      <c r="Q42" s="3">
        <v>6</v>
      </c>
      <c r="R42" s="3">
        <v>84</v>
      </c>
      <c r="S42" s="3">
        <v>169</v>
      </c>
      <c r="T42" s="31">
        <v>2.0119047619047619</v>
      </c>
      <c r="U42" s="3">
        <v>73</v>
      </c>
      <c r="V42" s="30">
        <v>0.81111111111111112</v>
      </c>
    </row>
    <row r="43" spans="1:22" ht="15.5" x14ac:dyDescent="0.35">
      <c r="A43" s="1" t="s">
        <v>25</v>
      </c>
      <c r="B43" s="1">
        <v>31</v>
      </c>
      <c r="C43" s="40" t="s">
        <v>200</v>
      </c>
      <c r="D43" s="13" t="s">
        <v>163</v>
      </c>
      <c r="E43" s="3" t="s">
        <v>164</v>
      </c>
      <c r="F43" s="1" t="s">
        <v>165</v>
      </c>
      <c r="G43" s="3">
        <v>88</v>
      </c>
      <c r="H43" s="3">
        <v>79</v>
      </c>
      <c r="I43" s="3">
        <v>72</v>
      </c>
      <c r="J43" s="11" t="s">
        <v>195</v>
      </c>
      <c r="K43" s="26" t="s">
        <v>190</v>
      </c>
      <c r="L43" s="39" t="s">
        <v>196</v>
      </c>
      <c r="M43" s="14" t="s">
        <v>166</v>
      </c>
      <c r="N43" s="3">
        <v>88</v>
      </c>
      <c r="O43" s="3">
        <v>79</v>
      </c>
      <c r="P43" s="30">
        <v>0.89772727272727271</v>
      </c>
      <c r="Q43" s="3">
        <v>9</v>
      </c>
      <c r="R43" s="3">
        <v>79</v>
      </c>
      <c r="S43" s="3">
        <v>170</v>
      </c>
      <c r="T43" s="31">
        <v>2.1518987341772151</v>
      </c>
      <c r="U43" s="3">
        <v>72</v>
      </c>
      <c r="V43" s="30">
        <v>0.81818181818181823</v>
      </c>
    </row>
    <row r="44" spans="1:22" ht="15.5" x14ac:dyDescent="0.35">
      <c r="A44" s="1" t="s">
        <v>25</v>
      </c>
      <c r="B44" s="1">
        <v>2</v>
      </c>
      <c r="C44" s="1" t="s">
        <v>199</v>
      </c>
      <c r="D44" s="13">
        <v>46023</v>
      </c>
      <c r="E44" s="3">
        <v>2010</v>
      </c>
      <c r="F44" s="5" t="s">
        <v>167</v>
      </c>
      <c r="G44" s="3">
        <v>0</v>
      </c>
      <c r="H44" s="3">
        <v>0</v>
      </c>
      <c r="I44" s="3">
        <v>0</v>
      </c>
      <c r="J44" s="11" t="s">
        <v>195</v>
      </c>
      <c r="K44" s="26" t="s">
        <v>190</v>
      </c>
      <c r="L44" s="39" t="s">
        <v>196</v>
      </c>
      <c r="M44" s="14" t="s">
        <v>168</v>
      </c>
      <c r="N44" s="3">
        <v>89</v>
      </c>
      <c r="O44" s="3">
        <v>63</v>
      </c>
      <c r="P44" s="30">
        <v>0.7078651685393258</v>
      </c>
      <c r="Q44" s="3">
        <v>26</v>
      </c>
      <c r="R44" s="3">
        <v>73</v>
      </c>
      <c r="S44" s="3">
        <v>147</v>
      </c>
      <c r="T44" s="31">
        <v>2.0136986301369864</v>
      </c>
      <c r="U44" s="3">
        <v>22</v>
      </c>
      <c r="V44" s="30">
        <v>0.24719101123595505</v>
      </c>
    </row>
    <row r="45" spans="1:22" ht="15.5" x14ac:dyDescent="0.35">
      <c r="A45" s="1" t="s">
        <v>25</v>
      </c>
      <c r="B45" s="1">
        <v>67</v>
      </c>
      <c r="C45" s="40" t="s">
        <v>200</v>
      </c>
      <c r="D45" s="13" t="s">
        <v>14</v>
      </c>
      <c r="E45" s="3" t="s">
        <v>169</v>
      </c>
      <c r="F45" s="1" t="s">
        <v>170</v>
      </c>
      <c r="G45" s="3">
        <v>68</v>
      </c>
      <c r="H45" s="3">
        <v>65</v>
      </c>
      <c r="I45" s="3">
        <v>48</v>
      </c>
      <c r="J45" s="11" t="s">
        <v>195</v>
      </c>
      <c r="K45" s="26" t="s">
        <v>190</v>
      </c>
      <c r="L45" s="39" t="s">
        <v>196</v>
      </c>
      <c r="M45" s="14" t="s">
        <v>171</v>
      </c>
      <c r="N45" s="3">
        <v>68</v>
      </c>
      <c r="O45" s="3">
        <v>65</v>
      </c>
      <c r="P45" s="30">
        <v>0.95588235294117652</v>
      </c>
      <c r="Q45" s="3">
        <v>3</v>
      </c>
      <c r="R45" s="3">
        <v>65</v>
      </c>
      <c r="S45" s="3">
        <v>161</v>
      </c>
      <c r="T45" s="31">
        <v>2.476923076923077</v>
      </c>
      <c r="U45" s="3">
        <v>48</v>
      </c>
      <c r="V45" s="30">
        <v>0.70588235294117652</v>
      </c>
    </row>
    <row r="46" spans="1:22" ht="15.5" x14ac:dyDescent="0.35">
      <c r="A46" s="1" t="s">
        <v>25</v>
      </c>
      <c r="B46" s="1">
        <v>6</v>
      </c>
      <c r="C46" s="40" t="s">
        <v>200</v>
      </c>
      <c r="D46" s="13" t="s">
        <v>123</v>
      </c>
      <c r="E46" s="3" t="s">
        <v>173</v>
      </c>
      <c r="F46" s="1" t="s">
        <v>174</v>
      </c>
      <c r="G46" s="3">
        <v>88</v>
      </c>
      <c r="H46" s="3">
        <v>83</v>
      </c>
      <c r="I46" s="3">
        <v>53</v>
      </c>
      <c r="J46" s="9" t="s">
        <v>186</v>
      </c>
      <c r="K46" s="26" t="s">
        <v>190</v>
      </c>
      <c r="L46" s="39" t="s">
        <v>196</v>
      </c>
      <c r="M46" s="14" t="s">
        <v>175</v>
      </c>
      <c r="N46" s="3">
        <v>88</v>
      </c>
      <c r="O46" s="3">
        <v>83</v>
      </c>
      <c r="P46" s="30">
        <v>0.94318181818181823</v>
      </c>
      <c r="Q46" s="3">
        <v>5</v>
      </c>
      <c r="R46" s="3">
        <v>84</v>
      </c>
      <c r="S46" s="3">
        <v>173</v>
      </c>
      <c r="T46" s="31">
        <v>2.0595238095238093</v>
      </c>
      <c r="U46" s="3">
        <v>53</v>
      </c>
      <c r="V46" s="30">
        <v>0.60227272727272729</v>
      </c>
    </row>
    <row r="47" spans="1:22" ht="15.5" x14ac:dyDescent="0.35">
      <c r="A47" s="1" t="s">
        <v>25</v>
      </c>
      <c r="B47" s="1">
        <v>0</v>
      </c>
      <c r="C47" s="1" t="s">
        <v>199</v>
      </c>
      <c r="D47" s="13">
        <v>46060</v>
      </c>
      <c r="E47" s="3">
        <v>2130</v>
      </c>
      <c r="F47" s="5" t="s">
        <v>176</v>
      </c>
      <c r="G47" s="3">
        <v>0</v>
      </c>
      <c r="H47" s="3">
        <v>0</v>
      </c>
      <c r="I47" s="3">
        <v>0</v>
      </c>
      <c r="J47" s="9" t="s">
        <v>186</v>
      </c>
      <c r="K47" s="26" t="s">
        <v>190</v>
      </c>
      <c r="L47" s="39" t="s">
        <v>196</v>
      </c>
      <c r="M47" s="14" t="s">
        <v>177</v>
      </c>
      <c r="N47" s="3">
        <v>80</v>
      </c>
      <c r="O47" s="3">
        <v>29</v>
      </c>
      <c r="P47" s="30">
        <v>0.36249999999999999</v>
      </c>
      <c r="Q47" s="3">
        <v>51</v>
      </c>
      <c r="R47" s="3">
        <v>30</v>
      </c>
      <c r="S47" s="3">
        <v>35</v>
      </c>
      <c r="T47" s="31">
        <v>1.1666666666666667</v>
      </c>
      <c r="U47" s="3">
        <v>0</v>
      </c>
      <c r="V47" s="30">
        <v>0</v>
      </c>
    </row>
    <row r="48" spans="1:22" ht="15.5" x14ac:dyDescent="0.35">
      <c r="A48" s="1" t="s">
        <v>25</v>
      </c>
      <c r="B48" s="1">
        <v>26</v>
      </c>
      <c r="C48" s="40" t="s">
        <v>199</v>
      </c>
      <c r="D48" s="13" t="s">
        <v>12</v>
      </c>
      <c r="E48" s="3" t="s">
        <v>178</v>
      </c>
      <c r="F48" s="12" t="s">
        <v>179</v>
      </c>
      <c r="G48" s="41">
        <v>0</v>
      </c>
      <c r="H48" s="41">
        <v>0</v>
      </c>
      <c r="I48" s="41">
        <v>0</v>
      </c>
      <c r="J48" s="9" t="s">
        <v>186</v>
      </c>
      <c r="K48" s="26" t="s">
        <v>190</v>
      </c>
      <c r="L48" s="39" t="s">
        <v>196</v>
      </c>
      <c r="M48" s="14" t="s">
        <v>180</v>
      </c>
      <c r="N48" s="3">
        <v>103</v>
      </c>
      <c r="O48" s="3">
        <v>97</v>
      </c>
      <c r="P48" s="30">
        <v>0.94174757281553401</v>
      </c>
      <c r="Q48" s="3">
        <v>6</v>
      </c>
      <c r="R48" s="3">
        <v>97</v>
      </c>
      <c r="S48" s="3">
        <v>172</v>
      </c>
      <c r="T48" s="31">
        <v>1.7731958762886597</v>
      </c>
      <c r="U48" s="3">
        <v>52</v>
      </c>
      <c r="V48" s="30">
        <v>0.50485436893203883</v>
      </c>
    </row>
    <row r="49" spans="1:22" ht="15.5" x14ac:dyDescent="0.35">
      <c r="A49" s="1" t="s">
        <v>25</v>
      </c>
      <c r="B49" s="1">
        <v>2</v>
      </c>
      <c r="C49" s="1" t="s">
        <v>199</v>
      </c>
      <c r="D49" s="13">
        <v>46025</v>
      </c>
      <c r="E49" s="3">
        <v>2022</v>
      </c>
      <c r="F49" s="5" t="s">
        <v>181</v>
      </c>
      <c r="G49" s="3">
        <v>0</v>
      </c>
      <c r="H49" s="3">
        <v>0</v>
      </c>
      <c r="I49" s="3">
        <v>0</v>
      </c>
      <c r="J49" s="9" t="s">
        <v>186</v>
      </c>
      <c r="K49" s="26" t="s">
        <v>190</v>
      </c>
      <c r="L49" s="39" t="s">
        <v>196</v>
      </c>
      <c r="M49" s="14" t="s">
        <v>182</v>
      </c>
      <c r="N49" s="3">
        <v>91</v>
      </c>
      <c r="O49" s="3">
        <v>71</v>
      </c>
      <c r="P49" s="30">
        <v>0.78021978021978022</v>
      </c>
      <c r="Q49" s="3">
        <v>20</v>
      </c>
      <c r="R49" s="3">
        <v>71</v>
      </c>
      <c r="S49" s="3">
        <v>122</v>
      </c>
      <c r="T49" s="31">
        <v>1.7183098591549295</v>
      </c>
      <c r="U49" s="3">
        <v>37</v>
      </c>
      <c r="V49" s="30">
        <v>0.40659340659340659</v>
      </c>
    </row>
    <row r="50" spans="1:22" ht="15.5" x14ac:dyDescent="0.35">
      <c r="A50" s="1" t="s">
        <v>25</v>
      </c>
      <c r="B50" s="1">
        <v>26</v>
      </c>
      <c r="C50" s="40" t="s">
        <v>200</v>
      </c>
      <c r="D50" s="13" t="s">
        <v>12</v>
      </c>
      <c r="E50" s="3" t="s">
        <v>183</v>
      </c>
      <c r="F50" s="1" t="s">
        <v>184</v>
      </c>
      <c r="G50" s="3">
        <v>91</v>
      </c>
      <c r="H50" s="3">
        <v>83</v>
      </c>
      <c r="I50" s="3">
        <v>47</v>
      </c>
      <c r="J50" s="9" t="s">
        <v>186</v>
      </c>
      <c r="K50" s="26" t="s">
        <v>190</v>
      </c>
      <c r="L50" s="39" t="s">
        <v>196</v>
      </c>
      <c r="M50" s="14" t="s">
        <v>185</v>
      </c>
      <c r="N50" s="3">
        <v>91</v>
      </c>
      <c r="O50" s="3">
        <v>83</v>
      </c>
      <c r="P50" s="30">
        <v>0.91208791208791207</v>
      </c>
      <c r="Q50" s="3">
        <v>8</v>
      </c>
      <c r="R50" s="3">
        <v>83</v>
      </c>
      <c r="S50" s="3">
        <v>157</v>
      </c>
      <c r="T50" s="31">
        <v>1.8915662650602409</v>
      </c>
      <c r="U50" s="3">
        <v>47</v>
      </c>
      <c r="V50" s="30">
        <v>0.51648351648351654</v>
      </c>
    </row>
  </sheetData>
  <autoFilter ref="A1:V50" xr:uid="{3106957D-4449-46C0-93EE-74DA2FA5B219}"/>
  <mergeCells count="22">
    <mergeCell ref="A1:A2"/>
    <mergeCell ref="D1:D2"/>
    <mergeCell ref="E1:E2"/>
    <mergeCell ref="F1:F2"/>
    <mergeCell ref="M1:M2"/>
    <mergeCell ref="B1:B2"/>
    <mergeCell ref="C1:C2"/>
    <mergeCell ref="G1:G2"/>
    <mergeCell ref="H1:H2"/>
    <mergeCell ref="I1:I2"/>
    <mergeCell ref="U1:U2"/>
    <mergeCell ref="V1:V2"/>
    <mergeCell ref="J1:J2"/>
    <mergeCell ref="K1:K2"/>
    <mergeCell ref="L1:L2"/>
    <mergeCell ref="O1:O2"/>
    <mergeCell ref="P1:P2"/>
    <mergeCell ref="Q1:Q2"/>
    <mergeCell ref="R1:R2"/>
    <mergeCell ref="S1:S2"/>
    <mergeCell ref="T1:T2"/>
    <mergeCell ref="N1:N2"/>
  </mergeCells>
  <conditionalFormatting sqref="P1:P5 P7:P8 P10 P13:P14 P20:P21 P23:P24 P30 P32 P34:P36 P38:P39 P42:P43 P45:P46 P50">
    <cfRule type="cellIs" dxfId="2" priority="2" operator="lessThan">
      <formula>0.9</formula>
    </cfRule>
  </conditionalFormatting>
  <conditionalFormatting sqref="P17">
    <cfRule type="cellIs" dxfId="1" priority="4" operator="lessThan">
      <formula>0.9</formula>
    </cfRule>
  </conditionalFormatting>
  <conditionalFormatting sqref="V1:V5 V7:V8 V10 V13:V14 V17 V20:V21 V23:V24 V30:V32 V34:V36 V38:V39 V42:V43 V45:V46 V50">
    <cfRule type="cellIs" dxfId="0" priority="1" operator="lessThan">
      <formula>0.8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4EFE30-F1A8-49FE-9EAB-B31784BC47A8}">
  <dimension ref="A1:N67"/>
  <sheetViews>
    <sheetView topLeftCell="A20" zoomScale="70" zoomScaleNormal="70" workbookViewId="0">
      <selection activeCell="E54" sqref="E54"/>
    </sheetView>
  </sheetViews>
  <sheetFormatPr defaultRowHeight="14.5" x14ac:dyDescent="0.35"/>
  <cols>
    <col min="1" max="1" width="8.7265625" style="7"/>
    <col min="2" max="2" width="22.6328125" style="28" customWidth="1"/>
    <col min="4" max="4" width="34.1796875" customWidth="1"/>
    <col min="5" max="5" width="40.81640625" style="29" customWidth="1"/>
    <col min="6" max="6" width="11.453125" style="36" customWidth="1"/>
    <col min="7" max="7" width="16.90625" style="36" customWidth="1"/>
    <col min="8" max="8" width="16.54296875" style="37" customWidth="1"/>
    <col min="9" max="9" width="13.26953125" style="36" customWidth="1"/>
    <col min="10" max="10" width="10.26953125" style="36" customWidth="1"/>
    <col min="11" max="11" width="9.453125" style="36" customWidth="1"/>
    <col min="12" max="13" width="12.26953125" style="38" customWidth="1"/>
    <col min="14" max="14" width="12.26953125" style="37" customWidth="1"/>
  </cols>
  <sheetData>
    <row r="1" spans="1:14" ht="14.5" customHeight="1" x14ac:dyDescent="0.35">
      <c r="A1" s="43" t="s">
        <v>23</v>
      </c>
      <c r="B1" s="43" t="s">
        <v>17</v>
      </c>
      <c r="C1" s="47" t="s">
        <v>18</v>
      </c>
      <c r="D1" s="48" t="s">
        <v>24</v>
      </c>
      <c r="E1" s="49" t="s">
        <v>1</v>
      </c>
      <c r="F1" s="45" t="s">
        <v>2</v>
      </c>
      <c r="G1" s="45" t="s">
        <v>3</v>
      </c>
      <c r="H1" s="44" t="s">
        <v>4</v>
      </c>
      <c r="I1" s="45" t="s">
        <v>5</v>
      </c>
      <c r="J1" s="45" t="s">
        <v>6</v>
      </c>
      <c r="K1" s="46" t="s">
        <v>7</v>
      </c>
      <c r="L1" s="46" t="s">
        <v>8</v>
      </c>
      <c r="M1" s="46" t="s">
        <v>19</v>
      </c>
      <c r="N1" s="44" t="s">
        <v>20</v>
      </c>
    </row>
    <row r="2" spans="1:14" x14ac:dyDescent="0.35">
      <c r="A2" s="43"/>
      <c r="B2" s="43"/>
      <c r="C2" s="47"/>
      <c r="D2" s="48"/>
      <c r="E2" s="49"/>
      <c r="F2" s="45"/>
      <c r="G2" s="45"/>
      <c r="H2" s="44"/>
      <c r="I2" s="45"/>
      <c r="J2" s="45"/>
      <c r="K2" s="46"/>
      <c r="L2" s="46"/>
      <c r="M2" s="46"/>
      <c r="N2" s="44"/>
    </row>
    <row r="3" spans="1:14" x14ac:dyDescent="0.35">
      <c r="A3" s="1" t="s">
        <v>25</v>
      </c>
      <c r="B3" s="13" t="s">
        <v>26</v>
      </c>
      <c r="C3" s="3">
        <v>1707</v>
      </c>
      <c r="D3" s="1" t="s">
        <v>27</v>
      </c>
      <c r="E3" s="14" t="s">
        <v>28</v>
      </c>
      <c r="F3" s="3">
        <f>VLOOKUP(D3,Coverage!A:B,2,0)</f>
        <v>79</v>
      </c>
      <c r="G3" s="3">
        <f>VLOOKUP(D3,Coverage!A:C,3,0)</f>
        <v>76</v>
      </c>
      <c r="H3" s="30">
        <f>VLOOKUP(D3,Coverage!A:D,4,0)</f>
        <v>0.96202531645569622</v>
      </c>
      <c r="I3" s="3">
        <f>VLOOKUP(D3,Coverage!A:E,5,0)</f>
        <v>3</v>
      </c>
      <c r="J3" s="3">
        <f>VLOOKUP(D3,Coverage!A:F,6,0)</f>
        <v>76</v>
      </c>
      <c r="K3" s="3">
        <f>VLOOKUP(D3,Coverage!A:G,7,0)</f>
        <v>169</v>
      </c>
      <c r="L3" s="31">
        <f>VLOOKUP(D3,Coverage!A:H,8,0)</f>
        <v>2.2236842105263159</v>
      </c>
      <c r="M3" s="3">
        <f>VLOOKUP(D3,Coverage!A:I,9,0)</f>
        <v>63</v>
      </c>
      <c r="N3" s="30">
        <f>M3/F3</f>
        <v>0.79746835443037978</v>
      </c>
    </row>
    <row r="4" spans="1:14" x14ac:dyDescent="0.35">
      <c r="A4" s="1" t="s">
        <v>25</v>
      </c>
      <c r="B4" s="13" t="s">
        <v>29</v>
      </c>
      <c r="C4" s="3" t="s">
        <v>30</v>
      </c>
      <c r="D4" s="1" t="s">
        <v>31</v>
      </c>
      <c r="E4" s="14" t="s">
        <v>32</v>
      </c>
      <c r="F4" s="3">
        <f>VLOOKUP(D4,Coverage!A:B,2,0)</f>
        <v>71</v>
      </c>
      <c r="G4" s="3">
        <f>VLOOKUP(D4,Coverage!A:C,3,0)</f>
        <v>66</v>
      </c>
      <c r="H4" s="30">
        <f>VLOOKUP(D4,Coverage!A:D,4,0)</f>
        <v>0.92957746478873238</v>
      </c>
      <c r="I4" s="3">
        <f>VLOOKUP(D4,Coverage!A:E,5,0)</f>
        <v>5</v>
      </c>
      <c r="J4" s="3">
        <f>VLOOKUP(D4,Coverage!A:F,6,0)</f>
        <v>71</v>
      </c>
      <c r="K4" s="3">
        <f>VLOOKUP(D4,Coverage!A:G,7,0)</f>
        <v>161</v>
      </c>
      <c r="L4" s="31">
        <f>VLOOKUP(D4,Coverage!A:H,8,0)</f>
        <v>2.267605633802817</v>
      </c>
      <c r="M4" s="3">
        <f>VLOOKUP(D4,Coverage!A:I,9,0)</f>
        <v>40</v>
      </c>
      <c r="N4" s="30">
        <f t="shared" ref="N4:N67" si="0">M4/F4</f>
        <v>0.56338028169014087</v>
      </c>
    </row>
    <row r="5" spans="1:14" x14ac:dyDescent="0.35">
      <c r="A5" s="1" t="s">
        <v>25</v>
      </c>
      <c r="B5" s="13" t="s">
        <v>15</v>
      </c>
      <c r="C5" s="3" t="s">
        <v>33</v>
      </c>
      <c r="D5" s="1" t="s">
        <v>34</v>
      </c>
      <c r="E5" s="14" t="s">
        <v>35</v>
      </c>
      <c r="F5" s="3">
        <f>VLOOKUP(D5,Coverage!A:B,2,0)</f>
        <v>72</v>
      </c>
      <c r="G5" s="3">
        <f>VLOOKUP(D5,Coverage!A:C,3,0)</f>
        <v>68</v>
      </c>
      <c r="H5" s="30">
        <f>VLOOKUP(D5,Coverage!A:D,4,0)</f>
        <v>0.94444444444444442</v>
      </c>
      <c r="I5" s="3">
        <f>VLOOKUP(D5,Coverage!A:E,5,0)</f>
        <v>4</v>
      </c>
      <c r="J5" s="3">
        <f>VLOOKUP(D5,Coverage!A:F,6,0)</f>
        <v>68</v>
      </c>
      <c r="K5" s="3">
        <f>VLOOKUP(D5,Coverage!A:G,7,0)</f>
        <v>158</v>
      </c>
      <c r="L5" s="31">
        <f>VLOOKUP(D5,Coverage!A:H,8,0)</f>
        <v>2.3235294117647061</v>
      </c>
      <c r="M5" s="3">
        <f>VLOOKUP(D5,Coverage!A:I,9,0)</f>
        <v>60</v>
      </c>
      <c r="N5" s="30">
        <f t="shared" si="0"/>
        <v>0.83333333333333337</v>
      </c>
    </row>
    <row r="6" spans="1:14" x14ac:dyDescent="0.35">
      <c r="A6" s="1" t="s">
        <v>25</v>
      </c>
      <c r="B6" s="13">
        <v>46025</v>
      </c>
      <c r="C6" s="3">
        <v>2008</v>
      </c>
      <c r="D6" s="5" t="s">
        <v>36</v>
      </c>
      <c r="E6" s="14" t="s">
        <v>37</v>
      </c>
      <c r="F6" s="3">
        <f>VLOOKUP(D6,Coverage!A:B,2,0)</f>
        <v>74</v>
      </c>
      <c r="G6" s="3">
        <f>VLOOKUP(D6,Coverage!A:C,3,0)</f>
        <v>65</v>
      </c>
      <c r="H6" s="30">
        <f>VLOOKUP(D6,Coverage!A:D,4,0)</f>
        <v>0.8783783783783784</v>
      </c>
      <c r="I6" s="3">
        <f>VLOOKUP(D6,Coverage!A:E,5,0)</f>
        <v>9</v>
      </c>
      <c r="J6" s="3">
        <f>VLOOKUP(D6,Coverage!A:F,6,0)</f>
        <v>74</v>
      </c>
      <c r="K6" s="3">
        <f>VLOOKUP(D6,Coverage!A:G,7,0)</f>
        <v>134</v>
      </c>
      <c r="L6" s="31">
        <f>VLOOKUP(D6,Coverage!A:H,8,0)</f>
        <v>1.8108108108108107</v>
      </c>
      <c r="M6" s="3">
        <f>VLOOKUP(D6,Coverage!A:I,9,0)</f>
        <v>27</v>
      </c>
      <c r="N6" s="30">
        <f t="shared" si="0"/>
        <v>0.36486486486486486</v>
      </c>
    </row>
    <row r="7" spans="1:14" x14ac:dyDescent="0.35">
      <c r="A7" s="1" t="s">
        <v>25</v>
      </c>
      <c r="B7" s="13" t="s">
        <v>38</v>
      </c>
      <c r="C7" s="3" t="s">
        <v>39</v>
      </c>
      <c r="D7" s="1" t="s">
        <v>40</v>
      </c>
      <c r="E7" s="14" t="s">
        <v>41</v>
      </c>
      <c r="F7" s="3">
        <f>VLOOKUP(D7,Coverage!A:B,2,0)</f>
        <v>80</v>
      </c>
      <c r="G7" s="3">
        <f>VLOOKUP(D7,Coverage!A:C,3,0)</f>
        <v>77</v>
      </c>
      <c r="H7" s="30">
        <f>VLOOKUP(D7,Coverage!A:D,4,0)</f>
        <v>0.96250000000000002</v>
      </c>
      <c r="I7" s="3">
        <f>VLOOKUP(D7,Coverage!A:E,5,0)</f>
        <v>3</v>
      </c>
      <c r="J7" s="3">
        <f>VLOOKUP(D7,Coverage!A:F,6,0)</f>
        <v>77</v>
      </c>
      <c r="K7" s="3">
        <f>VLOOKUP(D7,Coverage!A:G,7,0)</f>
        <v>154</v>
      </c>
      <c r="L7" s="31">
        <f>VLOOKUP(D7,Coverage!A:H,8,0)</f>
        <v>2</v>
      </c>
      <c r="M7" s="3">
        <f>VLOOKUP(D7,Coverage!A:I,9,0)</f>
        <v>44</v>
      </c>
      <c r="N7" s="30">
        <f t="shared" si="0"/>
        <v>0.55000000000000004</v>
      </c>
    </row>
    <row r="8" spans="1:14" x14ac:dyDescent="0.35">
      <c r="A8" s="1" t="s">
        <v>25</v>
      </c>
      <c r="B8" s="13"/>
      <c r="C8" s="3"/>
      <c r="D8" s="15" t="s">
        <v>11</v>
      </c>
      <c r="E8" s="14" t="s">
        <v>42</v>
      </c>
      <c r="F8" s="3" t="e">
        <f>VLOOKUP(D8,Coverage!A:B,2,0)</f>
        <v>#N/A</v>
      </c>
      <c r="G8" s="3" t="e">
        <f>VLOOKUP(D8,Coverage!A:C,3,0)</f>
        <v>#N/A</v>
      </c>
      <c r="H8" s="30" t="e">
        <f>VLOOKUP(D8,Coverage!A:D,4,0)</f>
        <v>#N/A</v>
      </c>
      <c r="I8" s="3" t="e">
        <f>VLOOKUP(D8,Coverage!A:E,5,0)</f>
        <v>#N/A</v>
      </c>
      <c r="J8" s="3" t="e">
        <f>VLOOKUP(D8,Coverage!A:F,6,0)</f>
        <v>#N/A</v>
      </c>
      <c r="K8" s="3" t="e">
        <f>VLOOKUP(D8,Coverage!A:G,7,0)</f>
        <v>#N/A</v>
      </c>
      <c r="L8" s="31" t="e">
        <f>VLOOKUP(D8,Coverage!A:H,8,0)</f>
        <v>#N/A</v>
      </c>
      <c r="M8" s="3" t="e">
        <f>VLOOKUP(D8,Coverage!A:I,9,0)</f>
        <v>#N/A</v>
      </c>
      <c r="N8" s="30" t="e">
        <f t="shared" si="0"/>
        <v>#N/A</v>
      </c>
    </row>
    <row r="9" spans="1:14" x14ac:dyDescent="0.35">
      <c r="A9" s="1" t="s">
        <v>25</v>
      </c>
      <c r="B9" s="13" t="s">
        <v>12</v>
      </c>
      <c r="C9" s="3" t="s">
        <v>43</v>
      </c>
      <c r="D9" s="1" t="s">
        <v>44</v>
      </c>
      <c r="E9" s="14" t="s">
        <v>45</v>
      </c>
      <c r="F9" s="3">
        <f>VLOOKUP(D9,Coverage!A:B,2,0)</f>
        <v>78</v>
      </c>
      <c r="G9" s="3">
        <f>VLOOKUP(D9,Coverage!A:C,3,0)</f>
        <v>71</v>
      </c>
      <c r="H9" s="30">
        <f>VLOOKUP(D9,Coverage!A:D,4,0)</f>
        <v>0.91025641025641024</v>
      </c>
      <c r="I9" s="3">
        <f>VLOOKUP(D9,Coverage!A:E,5,0)</f>
        <v>7</v>
      </c>
      <c r="J9" s="3">
        <f>VLOOKUP(D9,Coverage!A:F,6,0)</f>
        <v>73</v>
      </c>
      <c r="K9" s="3">
        <f>VLOOKUP(D9,Coverage!A:G,7,0)</f>
        <v>154</v>
      </c>
      <c r="L9" s="31">
        <f>VLOOKUP(D9,Coverage!A:H,8,0)</f>
        <v>2.1095890410958904</v>
      </c>
      <c r="M9" s="3">
        <f>VLOOKUP(D9,Coverage!A:I,9,0)</f>
        <v>48</v>
      </c>
      <c r="N9" s="30">
        <f t="shared" si="0"/>
        <v>0.61538461538461542</v>
      </c>
    </row>
    <row r="10" spans="1:14" x14ac:dyDescent="0.35">
      <c r="A10" s="1" t="s">
        <v>25</v>
      </c>
      <c r="B10" s="13">
        <v>46032</v>
      </c>
      <c r="C10" s="3">
        <v>2007</v>
      </c>
      <c r="D10" s="16" t="s">
        <v>46</v>
      </c>
      <c r="E10" s="14" t="s">
        <v>47</v>
      </c>
      <c r="F10" s="3">
        <f>VLOOKUP(D10,Coverage!A:B,2,0)</f>
        <v>89</v>
      </c>
      <c r="G10" s="3">
        <f>VLOOKUP(D10,Coverage!A:C,3,0)</f>
        <v>53</v>
      </c>
      <c r="H10" s="30">
        <f>VLOOKUP(D10,Coverage!A:D,4,0)</f>
        <v>0.5955056179775281</v>
      </c>
      <c r="I10" s="3">
        <f>VLOOKUP(D10,Coverage!A:E,5,0)</f>
        <v>36</v>
      </c>
      <c r="J10" s="3">
        <f>VLOOKUP(D10,Coverage!A:F,6,0)</f>
        <v>53</v>
      </c>
      <c r="K10" s="3">
        <f>VLOOKUP(D10,Coverage!A:G,7,0)</f>
        <v>66</v>
      </c>
      <c r="L10" s="31">
        <f>VLOOKUP(D10,Coverage!A:H,8,0)</f>
        <v>1.2452830188679245</v>
      </c>
      <c r="M10" s="3">
        <f>VLOOKUP(D10,Coverage!A:I,9,0)</f>
        <v>8</v>
      </c>
      <c r="N10" s="30">
        <f t="shared" si="0"/>
        <v>8.98876404494382E-2</v>
      </c>
    </row>
    <row r="11" spans="1:14" x14ac:dyDescent="0.35">
      <c r="A11" s="1" t="s">
        <v>25</v>
      </c>
      <c r="B11" s="17" t="s">
        <v>48</v>
      </c>
      <c r="C11" s="10" t="s">
        <v>49</v>
      </c>
      <c r="D11" s="9" t="s">
        <v>50</v>
      </c>
      <c r="E11" s="18" t="s">
        <v>51</v>
      </c>
      <c r="F11" s="10">
        <f>SUM(F9,F7,F3:F5)</f>
        <v>380</v>
      </c>
      <c r="G11" s="10">
        <f>SUM(G9,G7,G3:G5)</f>
        <v>358</v>
      </c>
      <c r="H11" s="32">
        <f>G11/F11</f>
        <v>0.94210526315789478</v>
      </c>
      <c r="I11" s="10">
        <f t="shared" ref="I11:M11" si="1">SUM(I9,I7,I3:I5)</f>
        <v>22</v>
      </c>
      <c r="J11" s="10">
        <f t="shared" si="1"/>
        <v>365</v>
      </c>
      <c r="K11" s="10">
        <f t="shared" si="1"/>
        <v>796</v>
      </c>
      <c r="L11" s="33">
        <f>AVERAGE(L9,L7,L3:L5)</f>
        <v>2.1848816594379459</v>
      </c>
      <c r="M11" s="10">
        <f t="shared" si="1"/>
        <v>255</v>
      </c>
      <c r="N11" s="32">
        <f t="shared" si="0"/>
        <v>0.67105263157894735</v>
      </c>
    </row>
    <row r="12" spans="1:14" x14ac:dyDescent="0.35">
      <c r="A12" s="1" t="s">
        <v>25</v>
      </c>
      <c r="B12" s="13"/>
      <c r="C12" s="3"/>
      <c r="D12" s="4" t="s">
        <v>52</v>
      </c>
      <c r="E12" s="14" t="s">
        <v>53</v>
      </c>
      <c r="F12" s="3" t="e">
        <f>VLOOKUP(D12,Coverage!A:B,2,0)</f>
        <v>#N/A</v>
      </c>
      <c r="G12" s="3" t="e">
        <f>VLOOKUP(D12,Coverage!A:C,3,0)</f>
        <v>#N/A</v>
      </c>
      <c r="H12" s="30" t="e">
        <f>VLOOKUP(D12,Coverage!A:D,4,0)</f>
        <v>#N/A</v>
      </c>
      <c r="I12" s="3" t="e">
        <f>VLOOKUP(D12,Coverage!A:E,5,0)</f>
        <v>#N/A</v>
      </c>
      <c r="J12" s="3" t="e">
        <f>VLOOKUP(D12,Coverage!A:F,6,0)</f>
        <v>#N/A</v>
      </c>
      <c r="K12" s="3" t="e">
        <f>VLOOKUP(D12,Coverage!A:G,7,0)</f>
        <v>#N/A</v>
      </c>
      <c r="L12" s="31" t="e">
        <f>VLOOKUP(D12,Coverage!A:H,8,0)</f>
        <v>#N/A</v>
      </c>
      <c r="M12" s="3" t="e">
        <f>VLOOKUP(D12,Coverage!A:I,9,0)</f>
        <v>#N/A</v>
      </c>
      <c r="N12" s="30" t="e">
        <f t="shared" si="0"/>
        <v>#N/A</v>
      </c>
    </row>
    <row r="13" spans="1:14" x14ac:dyDescent="0.35">
      <c r="A13" s="1" t="s">
        <v>25</v>
      </c>
      <c r="B13" s="13" t="s">
        <v>54</v>
      </c>
      <c r="C13" s="3">
        <v>1839</v>
      </c>
      <c r="D13" s="1" t="s">
        <v>55</v>
      </c>
      <c r="E13" s="14" t="s">
        <v>56</v>
      </c>
      <c r="F13" s="3">
        <f>VLOOKUP(D13,Coverage!A:B,2,0)</f>
        <v>73</v>
      </c>
      <c r="G13" s="3">
        <f>VLOOKUP(D13,Coverage!A:C,3,0)</f>
        <v>71</v>
      </c>
      <c r="H13" s="30">
        <f>VLOOKUP(D13,Coverage!A:D,4,0)</f>
        <v>0.9726027397260274</v>
      </c>
      <c r="I13" s="3">
        <f>VLOOKUP(D13,Coverage!A:E,5,0)</f>
        <v>2</v>
      </c>
      <c r="J13" s="3">
        <f>VLOOKUP(D13,Coverage!A:F,6,0)</f>
        <v>71</v>
      </c>
      <c r="K13" s="3">
        <f>VLOOKUP(D13,Coverage!A:G,7,0)</f>
        <v>144</v>
      </c>
      <c r="L13" s="31">
        <f>VLOOKUP(D13,Coverage!A:H,8,0)</f>
        <v>2.028169014084507</v>
      </c>
      <c r="M13" s="3">
        <f>VLOOKUP(D13,Coverage!A:I,9,0)</f>
        <v>39</v>
      </c>
      <c r="N13" s="30">
        <f t="shared" si="0"/>
        <v>0.53424657534246578</v>
      </c>
    </row>
    <row r="14" spans="1:14" x14ac:dyDescent="0.35">
      <c r="A14" s="1" t="s">
        <v>25</v>
      </c>
      <c r="B14" s="13">
        <v>46023</v>
      </c>
      <c r="C14" s="3">
        <v>2018</v>
      </c>
      <c r="D14" s="5" t="s">
        <v>57</v>
      </c>
      <c r="E14" s="14" t="s">
        <v>58</v>
      </c>
      <c r="F14" s="3">
        <f>VLOOKUP(D14,Coverage!A:B,2,0)</f>
        <v>74</v>
      </c>
      <c r="G14" s="3">
        <f>VLOOKUP(D14,Coverage!A:C,3,0)</f>
        <v>63</v>
      </c>
      <c r="H14" s="30">
        <f>VLOOKUP(D14,Coverage!A:D,4,0)</f>
        <v>0.85135135135135132</v>
      </c>
      <c r="I14" s="3">
        <f>VLOOKUP(D14,Coverage!A:E,5,0)</f>
        <v>11</v>
      </c>
      <c r="J14" s="3">
        <f>VLOOKUP(D14,Coverage!A:F,6,0)</f>
        <v>63</v>
      </c>
      <c r="K14" s="3">
        <f>VLOOKUP(D14,Coverage!A:G,7,0)</f>
        <v>120</v>
      </c>
      <c r="L14" s="31">
        <f>VLOOKUP(D14,Coverage!A:H,8,0)</f>
        <v>1.9047619047619047</v>
      </c>
      <c r="M14" s="3">
        <f>VLOOKUP(D14,Coverage!A:I,9,0)</f>
        <v>40</v>
      </c>
      <c r="N14" s="30">
        <f t="shared" si="0"/>
        <v>0.54054054054054057</v>
      </c>
    </row>
    <row r="15" spans="1:14" x14ac:dyDescent="0.35">
      <c r="A15" s="1" t="s">
        <v>25</v>
      </c>
      <c r="B15" s="13">
        <v>46032</v>
      </c>
      <c r="C15" s="3">
        <v>2074</v>
      </c>
      <c r="D15" s="5" t="s">
        <v>59</v>
      </c>
      <c r="E15" s="14" t="s">
        <v>60</v>
      </c>
      <c r="F15" s="3">
        <f>VLOOKUP(D15,Coverage!A:B,2,0)</f>
        <v>95</v>
      </c>
      <c r="G15" s="3">
        <f>VLOOKUP(D15,Coverage!A:C,3,0)</f>
        <v>78</v>
      </c>
      <c r="H15" s="30">
        <f>VLOOKUP(D15,Coverage!A:D,4,0)</f>
        <v>0.82105263157894737</v>
      </c>
      <c r="I15" s="3">
        <f>VLOOKUP(D15,Coverage!A:E,5,0)</f>
        <v>17</v>
      </c>
      <c r="J15" s="3">
        <f>VLOOKUP(D15,Coverage!A:F,6,0)</f>
        <v>78</v>
      </c>
      <c r="K15" s="3">
        <f>VLOOKUP(D15,Coverage!A:G,7,0)</f>
        <v>131</v>
      </c>
      <c r="L15" s="31">
        <f>VLOOKUP(D15,Coverage!A:H,8,0)</f>
        <v>1.6794871794871795</v>
      </c>
      <c r="M15" s="3">
        <f>VLOOKUP(D15,Coverage!A:I,9,0)</f>
        <v>24</v>
      </c>
      <c r="N15" s="30">
        <f t="shared" si="0"/>
        <v>0.25263157894736843</v>
      </c>
    </row>
    <row r="16" spans="1:14" x14ac:dyDescent="0.35">
      <c r="A16" s="1" t="s">
        <v>25</v>
      </c>
      <c r="B16" s="13" t="s">
        <v>61</v>
      </c>
      <c r="C16" s="3" t="s">
        <v>62</v>
      </c>
      <c r="D16" s="1" t="s">
        <v>63</v>
      </c>
      <c r="E16" s="14" t="s">
        <v>64</v>
      </c>
      <c r="F16" s="3">
        <f>VLOOKUP(D16,Coverage!A:B,2,0)</f>
        <v>58</v>
      </c>
      <c r="G16" s="3">
        <f>VLOOKUP(D16,Coverage!A:C,3,0)</f>
        <v>0</v>
      </c>
      <c r="H16" s="30">
        <f>VLOOKUP(D16,Coverage!A:D,4,0)</f>
        <v>0</v>
      </c>
      <c r="I16" s="3">
        <f>VLOOKUP(D16,Coverage!A:E,5,0)</f>
        <v>58</v>
      </c>
      <c r="J16" s="3">
        <f>VLOOKUP(D16,Coverage!A:F,6,0)</f>
        <v>0</v>
      </c>
      <c r="K16" s="3">
        <f>VLOOKUP(D16,Coverage!A:G,7,0)</f>
        <v>0</v>
      </c>
      <c r="L16" s="31">
        <f>VLOOKUP(D16,Coverage!A:H,8,0)</f>
        <v>0</v>
      </c>
      <c r="M16" s="3">
        <f>VLOOKUP(D16,Coverage!A:I,9,0)</f>
        <v>0</v>
      </c>
      <c r="N16" s="30">
        <f t="shared" si="0"/>
        <v>0</v>
      </c>
    </row>
    <row r="17" spans="1:14" x14ac:dyDescent="0.35">
      <c r="A17" s="1" t="s">
        <v>25</v>
      </c>
      <c r="B17" s="13" t="s">
        <v>12</v>
      </c>
      <c r="C17" s="3" t="s">
        <v>65</v>
      </c>
      <c r="D17" s="1" t="s">
        <v>0</v>
      </c>
      <c r="E17" s="14" t="s">
        <v>66</v>
      </c>
      <c r="F17" s="3">
        <f>VLOOKUP(D17,Coverage!A:B,2,0)</f>
        <v>79</v>
      </c>
      <c r="G17" s="3">
        <f>VLOOKUP(D17,Coverage!A:C,3,0)</f>
        <v>69</v>
      </c>
      <c r="H17" s="30">
        <f>VLOOKUP(D17,Coverage!A:D,4,0)</f>
        <v>0.87341772151898733</v>
      </c>
      <c r="I17" s="3">
        <f>VLOOKUP(D17,Coverage!A:E,5,0)</f>
        <v>10</v>
      </c>
      <c r="J17" s="3">
        <f>VLOOKUP(D17,Coverage!A:F,6,0)</f>
        <v>69</v>
      </c>
      <c r="K17" s="3">
        <f>VLOOKUP(D17,Coverage!A:G,7,0)</f>
        <v>127</v>
      </c>
      <c r="L17" s="31">
        <f>VLOOKUP(D17,Coverage!A:H,8,0)</f>
        <v>1.8405797101449275</v>
      </c>
      <c r="M17" s="3">
        <f>VLOOKUP(D17,Coverage!A:I,9,0)</f>
        <v>32</v>
      </c>
      <c r="N17" s="30">
        <f t="shared" si="0"/>
        <v>0.4050632911392405</v>
      </c>
    </row>
    <row r="18" spans="1:14" x14ac:dyDescent="0.35">
      <c r="A18" s="1" t="s">
        <v>25</v>
      </c>
      <c r="B18" s="13">
        <v>46033</v>
      </c>
      <c r="C18" s="3">
        <v>2075</v>
      </c>
      <c r="D18" s="5" t="s">
        <v>67</v>
      </c>
      <c r="E18" s="14" t="s">
        <v>68</v>
      </c>
      <c r="F18" s="3">
        <f>VLOOKUP(D18,Coverage!A:B,2,0)</f>
        <v>77</v>
      </c>
      <c r="G18" s="3">
        <f>VLOOKUP(D18,Coverage!A:C,3,0)</f>
        <v>74</v>
      </c>
      <c r="H18" s="30">
        <f>VLOOKUP(D18,Coverage!A:D,4,0)</f>
        <v>0.96103896103896103</v>
      </c>
      <c r="I18" s="3">
        <f>VLOOKUP(D18,Coverage!A:E,5,0)</f>
        <v>3</v>
      </c>
      <c r="J18" s="3">
        <f>VLOOKUP(D18,Coverage!A:F,6,0)</f>
        <v>75</v>
      </c>
      <c r="K18" s="3">
        <f>VLOOKUP(D18,Coverage!A:G,7,0)</f>
        <v>164</v>
      </c>
      <c r="L18" s="31">
        <f>VLOOKUP(D18,Coverage!A:H,8,0)</f>
        <v>2.1866666666666665</v>
      </c>
      <c r="M18" s="3">
        <f>VLOOKUP(D18,Coverage!A:I,9,0)</f>
        <v>43</v>
      </c>
      <c r="N18" s="30">
        <f t="shared" si="0"/>
        <v>0.55844155844155841</v>
      </c>
    </row>
    <row r="19" spans="1:14" x14ac:dyDescent="0.35">
      <c r="A19" s="1" t="s">
        <v>25</v>
      </c>
      <c r="B19" s="13">
        <v>46023</v>
      </c>
      <c r="C19" s="3">
        <v>2019</v>
      </c>
      <c r="D19" s="5" t="s">
        <v>69</v>
      </c>
      <c r="E19" s="14" t="s">
        <v>70</v>
      </c>
      <c r="F19" s="3">
        <f>VLOOKUP(D19,Coverage!A:B,2,0)</f>
        <v>82</v>
      </c>
      <c r="G19" s="3">
        <f>VLOOKUP(D19,Coverage!A:C,3,0)</f>
        <v>76</v>
      </c>
      <c r="H19" s="30">
        <f>VLOOKUP(D19,Coverage!A:D,4,0)</f>
        <v>0.92682926829268297</v>
      </c>
      <c r="I19" s="3">
        <f>VLOOKUP(D19,Coverage!A:E,5,0)</f>
        <v>6</v>
      </c>
      <c r="J19" s="3">
        <f>VLOOKUP(D19,Coverage!A:F,6,0)</f>
        <v>77</v>
      </c>
      <c r="K19" s="3">
        <f>VLOOKUP(D19,Coverage!A:G,7,0)</f>
        <v>147</v>
      </c>
      <c r="L19" s="31">
        <f>VLOOKUP(D19,Coverage!A:H,8,0)</f>
        <v>1.9090909090909092</v>
      </c>
      <c r="M19" s="3">
        <f>VLOOKUP(D19,Coverage!A:I,9,0)</f>
        <v>42</v>
      </c>
      <c r="N19" s="30">
        <f t="shared" si="0"/>
        <v>0.51219512195121952</v>
      </c>
    </row>
    <row r="20" spans="1:14" x14ac:dyDescent="0.35">
      <c r="A20" s="1" t="s">
        <v>25</v>
      </c>
      <c r="B20" s="19">
        <v>46023</v>
      </c>
      <c r="C20" s="20">
        <v>1902</v>
      </c>
      <c r="D20" s="20" t="s">
        <v>71</v>
      </c>
      <c r="E20" s="18" t="s">
        <v>72</v>
      </c>
      <c r="F20" s="10">
        <f>SUM(F16:F17,F13)</f>
        <v>210</v>
      </c>
      <c r="G20" s="10">
        <f>SUM(G16:G17,G13)</f>
        <v>140</v>
      </c>
      <c r="H20" s="32">
        <f>G20/F20</f>
        <v>0.66666666666666663</v>
      </c>
      <c r="I20" s="10">
        <f t="shared" ref="I20:M20" si="2">SUM(I16:I17,I13)</f>
        <v>70</v>
      </c>
      <c r="J20" s="10">
        <f t="shared" si="2"/>
        <v>140</v>
      </c>
      <c r="K20" s="10">
        <f t="shared" si="2"/>
        <v>271</v>
      </c>
      <c r="L20" s="33">
        <f>AVERAGE(L16:L17,L13)</f>
        <v>1.2895829080764782</v>
      </c>
      <c r="M20" s="10">
        <f t="shared" si="2"/>
        <v>71</v>
      </c>
      <c r="N20" s="32">
        <f t="shared" si="0"/>
        <v>0.33809523809523812</v>
      </c>
    </row>
    <row r="21" spans="1:14" x14ac:dyDescent="0.35">
      <c r="A21" s="1" t="s">
        <v>25</v>
      </c>
      <c r="B21" s="13" t="s">
        <v>16</v>
      </c>
      <c r="C21" s="3" t="s">
        <v>73</v>
      </c>
      <c r="D21" s="6" t="s">
        <v>74</v>
      </c>
      <c r="E21" s="14" t="s">
        <v>75</v>
      </c>
      <c r="F21" s="3">
        <f>VLOOKUP(D21,Coverage!A:B,2,0)</f>
        <v>102</v>
      </c>
      <c r="G21" s="3">
        <f>VLOOKUP(D21,Coverage!A:C,3,0)</f>
        <v>93</v>
      </c>
      <c r="H21" s="30">
        <f>VLOOKUP(D21,Coverage!A:D,4,0)</f>
        <v>0.91176470588235292</v>
      </c>
      <c r="I21" s="3">
        <f>VLOOKUP(D21,Coverage!A:E,5,0)</f>
        <v>9</v>
      </c>
      <c r="J21" s="3">
        <f>VLOOKUP(D21,Coverage!A:F,6,0)</f>
        <v>93</v>
      </c>
      <c r="K21" s="3">
        <f>VLOOKUP(D21,Coverage!A:G,7,0)</f>
        <v>163</v>
      </c>
      <c r="L21" s="31">
        <f>VLOOKUP(D21,Coverage!A:H,8,0)</f>
        <v>1.7526881720430108</v>
      </c>
      <c r="M21" s="3">
        <f>VLOOKUP(D21,Coverage!A:I,9,0)</f>
        <v>57</v>
      </c>
      <c r="N21" s="30">
        <f t="shared" si="0"/>
        <v>0.55882352941176472</v>
      </c>
    </row>
    <row r="22" spans="1:14" x14ac:dyDescent="0.35">
      <c r="A22" s="1" t="s">
        <v>25</v>
      </c>
      <c r="B22" s="13">
        <v>46023</v>
      </c>
      <c r="C22" s="3">
        <v>2020</v>
      </c>
      <c r="D22" s="5" t="s">
        <v>76</v>
      </c>
      <c r="E22" s="14" t="s">
        <v>77</v>
      </c>
      <c r="F22" s="3">
        <f>VLOOKUP(D22,Coverage!A:B,2,0)</f>
        <v>95</v>
      </c>
      <c r="G22" s="3">
        <f>VLOOKUP(D22,Coverage!A:C,3,0)</f>
        <v>75</v>
      </c>
      <c r="H22" s="30">
        <f>VLOOKUP(D22,Coverage!A:D,4,0)</f>
        <v>0.78947368421052633</v>
      </c>
      <c r="I22" s="3">
        <f>VLOOKUP(D22,Coverage!A:E,5,0)</f>
        <v>20</v>
      </c>
      <c r="J22" s="3">
        <f>VLOOKUP(D22,Coverage!A:F,6,0)</f>
        <v>83</v>
      </c>
      <c r="K22" s="3">
        <f>VLOOKUP(D22,Coverage!A:G,7,0)</f>
        <v>156</v>
      </c>
      <c r="L22" s="31">
        <f>VLOOKUP(D22,Coverage!A:H,8,0)</f>
        <v>1.8795180722891567</v>
      </c>
      <c r="M22" s="3">
        <f>VLOOKUP(D22,Coverage!A:I,9,0)</f>
        <v>46</v>
      </c>
      <c r="N22" s="30">
        <f t="shared" si="0"/>
        <v>0.48421052631578948</v>
      </c>
    </row>
    <row r="23" spans="1:14" x14ac:dyDescent="0.35">
      <c r="A23" s="1" t="s">
        <v>25</v>
      </c>
      <c r="B23" s="13">
        <v>46032</v>
      </c>
      <c r="C23" s="3">
        <v>2039</v>
      </c>
      <c r="D23" s="5" t="s">
        <v>78</v>
      </c>
      <c r="E23" s="14" t="s">
        <v>79</v>
      </c>
      <c r="F23" s="3">
        <f>VLOOKUP(D23,Coverage!A:B,2,0)</f>
        <v>83</v>
      </c>
      <c r="G23" s="3">
        <f>VLOOKUP(D23,Coverage!A:C,3,0)</f>
        <v>66</v>
      </c>
      <c r="H23" s="30">
        <f>VLOOKUP(D23,Coverage!A:D,4,0)</f>
        <v>0.79518072289156627</v>
      </c>
      <c r="I23" s="3">
        <f>VLOOKUP(D23,Coverage!A:E,5,0)</f>
        <v>17</v>
      </c>
      <c r="J23" s="3">
        <f>VLOOKUP(D23,Coverage!A:F,6,0)</f>
        <v>82</v>
      </c>
      <c r="K23" s="3">
        <f>VLOOKUP(D23,Coverage!A:G,7,0)</f>
        <v>131</v>
      </c>
      <c r="L23" s="31">
        <f>VLOOKUP(D23,Coverage!A:H,8,0)</f>
        <v>1.5975609756097562</v>
      </c>
      <c r="M23" s="3">
        <f>VLOOKUP(D23,Coverage!A:I,9,0)</f>
        <v>31</v>
      </c>
      <c r="N23" s="30">
        <f t="shared" si="0"/>
        <v>0.37349397590361444</v>
      </c>
    </row>
    <row r="24" spans="1:14" x14ac:dyDescent="0.35">
      <c r="A24" s="1" t="s">
        <v>25</v>
      </c>
      <c r="B24" s="13" t="s">
        <v>12</v>
      </c>
      <c r="C24" s="3" t="s">
        <v>80</v>
      </c>
      <c r="D24" s="1" t="s">
        <v>81</v>
      </c>
      <c r="E24" s="14" t="s">
        <v>82</v>
      </c>
      <c r="F24" s="3">
        <f>VLOOKUP(D24,Coverage!A:B,2,0)</f>
        <v>87</v>
      </c>
      <c r="G24" s="3">
        <f>VLOOKUP(D24,Coverage!A:C,3,0)</f>
        <v>86</v>
      </c>
      <c r="H24" s="30">
        <f>VLOOKUP(D24,Coverage!A:D,4,0)</f>
        <v>0.9885057471264368</v>
      </c>
      <c r="I24" s="3">
        <f>VLOOKUP(D24,Coverage!A:E,5,0)</f>
        <v>1</v>
      </c>
      <c r="J24" s="3">
        <f>VLOOKUP(D24,Coverage!A:F,6,0)</f>
        <v>87</v>
      </c>
      <c r="K24" s="3">
        <f>VLOOKUP(D24,Coverage!A:G,7,0)</f>
        <v>158</v>
      </c>
      <c r="L24" s="31">
        <f>VLOOKUP(D24,Coverage!A:H,8,0)</f>
        <v>1.8160919540229885</v>
      </c>
      <c r="M24" s="3">
        <f>VLOOKUP(D24,Coverage!A:I,9,0)</f>
        <v>56</v>
      </c>
      <c r="N24" s="30">
        <f t="shared" si="0"/>
        <v>0.64367816091954022</v>
      </c>
    </row>
    <row r="25" spans="1:14" x14ac:dyDescent="0.35">
      <c r="A25" s="1" t="s">
        <v>25</v>
      </c>
      <c r="B25" s="13" t="s">
        <v>83</v>
      </c>
      <c r="C25" s="3" t="s">
        <v>84</v>
      </c>
      <c r="D25" s="1" t="s">
        <v>85</v>
      </c>
      <c r="E25" s="14" t="s">
        <v>86</v>
      </c>
      <c r="F25" s="3">
        <f>VLOOKUP(D25,Coverage!A:B,2,0)</f>
        <v>83</v>
      </c>
      <c r="G25" s="3">
        <f>VLOOKUP(D25,Coverage!A:C,3,0)</f>
        <v>75</v>
      </c>
      <c r="H25" s="30">
        <f>VLOOKUP(D25,Coverage!A:D,4,0)</f>
        <v>0.90361445783132532</v>
      </c>
      <c r="I25" s="3">
        <f>VLOOKUP(D25,Coverage!A:E,5,0)</f>
        <v>8</v>
      </c>
      <c r="J25" s="3">
        <f>VLOOKUP(D25,Coverage!A:F,6,0)</f>
        <v>75</v>
      </c>
      <c r="K25" s="3">
        <f>VLOOKUP(D25,Coverage!A:G,7,0)</f>
        <v>123</v>
      </c>
      <c r="L25" s="31">
        <f>VLOOKUP(D25,Coverage!A:H,8,0)</f>
        <v>1.64</v>
      </c>
      <c r="M25" s="3">
        <f>VLOOKUP(D25,Coverage!A:I,9,0)</f>
        <v>55</v>
      </c>
      <c r="N25" s="30">
        <f t="shared" si="0"/>
        <v>0.66265060240963858</v>
      </c>
    </row>
    <row r="26" spans="1:14" x14ac:dyDescent="0.35">
      <c r="A26" s="1" t="s">
        <v>25</v>
      </c>
      <c r="B26" s="13">
        <v>46023</v>
      </c>
      <c r="C26" s="3">
        <v>2021</v>
      </c>
      <c r="D26" s="5" t="s">
        <v>87</v>
      </c>
      <c r="E26" s="14" t="s">
        <v>88</v>
      </c>
      <c r="F26" s="3">
        <f>VLOOKUP(D26,Coverage!A:B,2,0)</f>
        <v>76</v>
      </c>
      <c r="G26" s="3">
        <f>VLOOKUP(D26,Coverage!A:C,3,0)</f>
        <v>76</v>
      </c>
      <c r="H26" s="30">
        <f>VLOOKUP(D26,Coverage!A:D,4,0)</f>
        <v>1</v>
      </c>
      <c r="I26" s="3">
        <f>VLOOKUP(D26,Coverage!A:E,5,0)</f>
        <v>0</v>
      </c>
      <c r="J26" s="3">
        <f>VLOOKUP(D26,Coverage!A:F,6,0)</f>
        <v>76</v>
      </c>
      <c r="K26" s="3">
        <f>VLOOKUP(D26,Coverage!A:G,7,0)</f>
        <v>169</v>
      </c>
      <c r="L26" s="31">
        <f>VLOOKUP(D26,Coverage!A:H,8,0)</f>
        <v>2.2236842105263159</v>
      </c>
      <c r="M26" s="3">
        <f>VLOOKUP(D26,Coverage!A:I,9,0)</f>
        <v>69</v>
      </c>
      <c r="N26" s="30">
        <f t="shared" si="0"/>
        <v>0.90789473684210531</v>
      </c>
    </row>
    <row r="27" spans="1:14" x14ac:dyDescent="0.35">
      <c r="A27" s="1" t="s">
        <v>25</v>
      </c>
      <c r="B27" s="13" t="s">
        <v>14</v>
      </c>
      <c r="C27" s="3" t="s">
        <v>89</v>
      </c>
      <c r="D27" s="1" t="s">
        <v>90</v>
      </c>
      <c r="E27" s="14" t="s">
        <v>91</v>
      </c>
      <c r="F27" s="3">
        <f>VLOOKUP(D27,Coverage!A:B,2,0)</f>
        <v>77</v>
      </c>
      <c r="G27" s="3">
        <f>VLOOKUP(D27,Coverage!A:C,3,0)</f>
        <v>73</v>
      </c>
      <c r="H27" s="30">
        <f>VLOOKUP(D27,Coverage!A:D,4,0)</f>
        <v>0.94805194805194803</v>
      </c>
      <c r="I27" s="3">
        <f>VLOOKUP(D27,Coverage!A:E,5,0)</f>
        <v>4</v>
      </c>
      <c r="J27" s="3">
        <f>VLOOKUP(D27,Coverage!A:F,6,0)</f>
        <v>73</v>
      </c>
      <c r="K27" s="3">
        <f>VLOOKUP(D27,Coverage!A:G,7,0)</f>
        <v>163</v>
      </c>
      <c r="L27" s="31">
        <f>VLOOKUP(D27,Coverage!A:H,8,0)</f>
        <v>2.2328767123287672</v>
      </c>
      <c r="M27" s="3">
        <f>VLOOKUP(D27,Coverage!A:I,9,0)</f>
        <v>27</v>
      </c>
      <c r="N27" s="30">
        <f t="shared" si="0"/>
        <v>0.35064935064935066</v>
      </c>
    </row>
    <row r="28" spans="1:14" x14ac:dyDescent="0.35">
      <c r="A28" s="1" t="s">
        <v>25</v>
      </c>
      <c r="B28" s="13" t="s">
        <v>12</v>
      </c>
      <c r="C28" s="3" t="s">
        <v>92</v>
      </c>
      <c r="D28" s="1" t="s">
        <v>93</v>
      </c>
      <c r="E28" s="14" t="s">
        <v>94</v>
      </c>
      <c r="F28" s="3">
        <f>VLOOKUP(D28,Coverage!A:B,2,0)</f>
        <v>66</v>
      </c>
      <c r="G28" s="3">
        <f>VLOOKUP(D28,Coverage!A:C,3,0)</f>
        <v>61</v>
      </c>
      <c r="H28" s="30">
        <f>VLOOKUP(D28,Coverage!A:D,4,0)</f>
        <v>0.9242424242424242</v>
      </c>
      <c r="I28" s="3">
        <f>VLOOKUP(D28,Coverage!A:E,5,0)</f>
        <v>5</v>
      </c>
      <c r="J28" s="3">
        <f>VLOOKUP(D28,Coverage!A:F,6,0)</f>
        <v>62</v>
      </c>
      <c r="K28" s="3">
        <f>VLOOKUP(D28,Coverage!A:G,7,0)</f>
        <v>150</v>
      </c>
      <c r="L28" s="31">
        <f>VLOOKUP(D28,Coverage!A:H,8,0)</f>
        <v>2.4193548387096775</v>
      </c>
      <c r="M28" s="3">
        <f>VLOOKUP(D28,Coverage!A:I,9,0)</f>
        <v>19</v>
      </c>
      <c r="N28" s="30">
        <f t="shared" si="0"/>
        <v>0.2878787878787879</v>
      </c>
    </row>
    <row r="29" spans="1:14" x14ac:dyDescent="0.35">
      <c r="A29" s="1" t="s">
        <v>25</v>
      </c>
      <c r="B29" s="17"/>
      <c r="C29" s="10"/>
      <c r="D29" s="11" t="s">
        <v>95</v>
      </c>
      <c r="E29" s="18" t="s">
        <v>96</v>
      </c>
      <c r="F29" s="10">
        <f>SUM(F21,F24:F25,F27:F28)</f>
        <v>415</v>
      </c>
      <c r="G29" s="10">
        <f>SUM(G21,G24:G25,G27:G28)</f>
        <v>388</v>
      </c>
      <c r="H29" s="32">
        <f>G29/F29</f>
        <v>0.93493975903614457</v>
      </c>
      <c r="I29" s="10">
        <f t="shared" ref="I29:M29" si="3">SUM(I21,I24:I25,I27:I28)</f>
        <v>27</v>
      </c>
      <c r="J29" s="10">
        <f t="shared" si="3"/>
        <v>390</v>
      </c>
      <c r="K29" s="10">
        <f t="shared" si="3"/>
        <v>757</v>
      </c>
      <c r="L29" s="33">
        <f>AVERAGE(L21,L24:L25,L27:L28)</f>
        <v>1.9722023354208891</v>
      </c>
      <c r="M29" s="10">
        <f t="shared" si="3"/>
        <v>214</v>
      </c>
      <c r="N29" s="32">
        <f t="shared" si="0"/>
        <v>0.51566265060240968</v>
      </c>
    </row>
    <row r="30" spans="1:14" x14ac:dyDescent="0.35">
      <c r="A30" s="1" t="s">
        <v>25</v>
      </c>
      <c r="B30" s="13">
        <v>46023</v>
      </c>
      <c r="C30" s="3">
        <v>1992</v>
      </c>
      <c r="D30" s="5" t="s">
        <v>97</v>
      </c>
      <c r="E30" s="14" t="s">
        <v>98</v>
      </c>
      <c r="F30" s="3">
        <f>VLOOKUP(D30,Coverage!A:B,2,0)</f>
        <v>78</v>
      </c>
      <c r="G30" s="3">
        <f>VLOOKUP(D30,Coverage!A:C,3,0)</f>
        <v>68</v>
      </c>
      <c r="H30" s="30">
        <f>VLOOKUP(D30,Coverage!A:D,4,0)</f>
        <v>0.87179487179487181</v>
      </c>
      <c r="I30" s="3">
        <f>VLOOKUP(D30,Coverage!A:E,5,0)</f>
        <v>10</v>
      </c>
      <c r="J30" s="3">
        <f>VLOOKUP(D30,Coverage!A:F,6,0)</f>
        <v>81</v>
      </c>
      <c r="K30" s="3">
        <f>VLOOKUP(D30,Coverage!A:G,7,0)</f>
        <v>162</v>
      </c>
      <c r="L30" s="31">
        <f>VLOOKUP(D30,Coverage!A:H,8,0)</f>
        <v>2</v>
      </c>
      <c r="M30" s="3">
        <f>VLOOKUP(D30,Coverage!A:I,9,0)</f>
        <v>38</v>
      </c>
      <c r="N30" s="30">
        <f t="shared" si="0"/>
        <v>0.48717948717948717</v>
      </c>
    </row>
    <row r="31" spans="1:14" x14ac:dyDescent="0.35">
      <c r="A31" s="1" t="s">
        <v>25</v>
      </c>
      <c r="B31" s="13">
        <v>46023</v>
      </c>
      <c r="C31" s="3">
        <v>1995</v>
      </c>
      <c r="D31" s="5" t="s">
        <v>99</v>
      </c>
      <c r="E31" s="14" t="s">
        <v>100</v>
      </c>
      <c r="F31" s="3">
        <f>VLOOKUP(D31,Coverage!A:B,2,0)</f>
        <v>72</v>
      </c>
      <c r="G31" s="3">
        <f>VLOOKUP(D31,Coverage!A:C,3,0)</f>
        <v>66</v>
      </c>
      <c r="H31" s="30">
        <f>VLOOKUP(D31,Coverage!A:D,4,0)</f>
        <v>0.91666666666666663</v>
      </c>
      <c r="I31" s="3">
        <f>VLOOKUP(D31,Coverage!A:E,5,0)</f>
        <v>6</v>
      </c>
      <c r="J31" s="3">
        <f>VLOOKUP(D31,Coverage!A:F,6,0)</f>
        <v>78</v>
      </c>
      <c r="K31" s="3">
        <f>VLOOKUP(D31,Coverage!A:G,7,0)</f>
        <v>155</v>
      </c>
      <c r="L31" s="31">
        <f>VLOOKUP(D31,Coverage!A:H,8,0)</f>
        <v>1.9871794871794872</v>
      </c>
      <c r="M31" s="3">
        <f>VLOOKUP(D31,Coverage!A:I,9,0)</f>
        <v>48</v>
      </c>
      <c r="N31" s="30">
        <f t="shared" si="0"/>
        <v>0.66666666666666663</v>
      </c>
    </row>
    <row r="32" spans="1:14" x14ac:dyDescent="0.35">
      <c r="A32" s="1" t="s">
        <v>25</v>
      </c>
      <c r="B32" s="13">
        <v>46023</v>
      </c>
      <c r="C32" s="3">
        <v>1994</v>
      </c>
      <c r="D32" s="5" t="s">
        <v>101</v>
      </c>
      <c r="E32" s="14" t="s">
        <v>102</v>
      </c>
      <c r="F32" s="3">
        <f>VLOOKUP(D32,Coverage!A:B,2,0)</f>
        <v>96</v>
      </c>
      <c r="G32" s="3">
        <f>VLOOKUP(D32,Coverage!A:C,3,0)</f>
        <v>69</v>
      </c>
      <c r="H32" s="30">
        <f>VLOOKUP(D32,Coverage!A:D,4,0)</f>
        <v>0.71875</v>
      </c>
      <c r="I32" s="3">
        <f>VLOOKUP(D32,Coverage!A:E,5,0)</f>
        <v>27</v>
      </c>
      <c r="J32" s="3">
        <f>VLOOKUP(D32,Coverage!A:F,6,0)</f>
        <v>75</v>
      </c>
      <c r="K32" s="3">
        <f>VLOOKUP(D32,Coverage!A:G,7,0)</f>
        <v>139</v>
      </c>
      <c r="L32" s="31">
        <f>VLOOKUP(D32,Coverage!A:H,8,0)</f>
        <v>1.8533333333333333</v>
      </c>
      <c r="M32" s="3">
        <f>VLOOKUP(D32,Coverage!A:I,9,0)</f>
        <v>38</v>
      </c>
      <c r="N32" s="30">
        <f t="shared" si="0"/>
        <v>0.39583333333333331</v>
      </c>
    </row>
    <row r="33" spans="1:14" x14ac:dyDescent="0.35">
      <c r="A33" s="1" t="s">
        <v>25</v>
      </c>
      <c r="B33" s="13"/>
      <c r="C33" s="3"/>
      <c r="D33" s="15" t="s">
        <v>103</v>
      </c>
      <c r="E33" s="14" t="s">
        <v>104</v>
      </c>
      <c r="F33" s="3" t="e">
        <f>VLOOKUP(D33,Coverage!A:B,2,0)</f>
        <v>#N/A</v>
      </c>
      <c r="G33" s="3" t="e">
        <f>VLOOKUP(D33,Coverage!A:C,3,0)</f>
        <v>#N/A</v>
      </c>
      <c r="H33" s="30" t="e">
        <f>VLOOKUP(D33,Coverage!A:D,4,0)</f>
        <v>#N/A</v>
      </c>
      <c r="I33" s="3" t="e">
        <f>VLOOKUP(D33,Coverage!A:E,5,0)</f>
        <v>#N/A</v>
      </c>
      <c r="J33" s="3" t="e">
        <f>VLOOKUP(D33,Coverage!A:F,6,0)</f>
        <v>#N/A</v>
      </c>
      <c r="K33" s="3" t="e">
        <f>VLOOKUP(D33,Coverage!A:G,7,0)</f>
        <v>#N/A</v>
      </c>
      <c r="L33" s="31" t="e">
        <f>VLOOKUP(D33,Coverage!A:H,8,0)</f>
        <v>#N/A</v>
      </c>
      <c r="M33" s="3" t="e">
        <f>VLOOKUP(D33,Coverage!A:I,9,0)</f>
        <v>#N/A</v>
      </c>
      <c r="N33" s="30" t="e">
        <f t="shared" si="0"/>
        <v>#N/A</v>
      </c>
    </row>
    <row r="34" spans="1:14" x14ac:dyDescent="0.35">
      <c r="A34" s="1" t="s">
        <v>25</v>
      </c>
      <c r="B34" s="13">
        <v>46023</v>
      </c>
      <c r="C34" s="3">
        <v>1993</v>
      </c>
      <c r="D34" s="5" t="s">
        <v>105</v>
      </c>
      <c r="E34" s="14" t="s">
        <v>106</v>
      </c>
      <c r="F34" s="3">
        <f>VLOOKUP(D34,Coverage!A:B,2,0)</f>
        <v>90</v>
      </c>
      <c r="G34" s="3">
        <f>VLOOKUP(D34,Coverage!A:C,3,0)</f>
        <v>53</v>
      </c>
      <c r="H34" s="30">
        <f>VLOOKUP(D34,Coverage!A:D,4,0)</f>
        <v>0.58888888888888891</v>
      </c>
      <c r="I34" s="3">
        <f>VLOOKUP(D34,Coverage!A:E,5,0)</f>
        <v>37</v>
      </c>
      <c r="J34" s="3">
        <f>VLOOKUP(D34,Coverage!A:F,6,0)</f>
        <v>86</v>
      </c>
      <c r="K34" s="3">
        <f>VLOOKUP(D34,Coverage!A:G,7,0)</f>
        <v>141</v>
      </c>
      <c r="L34" s="31">
        <f>VLOOKUP(D34,Coverage!A:H,8,0)</f>
        <v>1.6395348837209303</v>
      </c>
      <c r="M34" s="3">
        <f>VLOOKUP(D34,Coverage!A:I,9,0)</f>
        <v>20</v>
      </c>
      <c r="N34" s="30">
        <f t="shared" si="0"/>
        <v>0.22222222222222221</v>
      </c>
    </row>
    <row r="35" spans="1:14" x14ac:dyDescent="0.35">
      <c r="A35" s="1" t="s">
        <v>25</v>
      </c>
      <c r="B35" s="13">
        <v>46054</v>
      </c>
      <c r="C35" s="3">
        <v>2133</v>
      </c>
      <c r="D35" s="5" t="s">
        <v>107</v>
      </c>
      <c r="E35" s="14" t="s">
        <v>108</v>
      </c>
      <c r="F35" s="3">
        <f>VLOOKUP(D35,Coverage!A:B,2,0)</f>
        <v>71</v>
      </c>
      <c r="G35" s="3">
        <f>VLOOKUP(D35,Coverage!A:C,3,0)</f>
        <v>31</v>
      </c>
      <c r="H35" s="30">
        <f>VLOOKUP(D35,Coverage!A:D,4,0)</f>
        <v>0.43661971830985913</v>
      </c>
      <c r="I35" s="3">
        <f>VLOOKUP(D35,Coverage!A:E,5,0)</f>
        <v>40</v>
      </c>
      <c r="J35" s="3">
        <f>VLOOKUP(D35,Coverage!A:F,6,0)</f>
        <v>36</v>
      </c>
      <c r="K35" s="3">
        <f>VLOOKUP(D35,Coverage!A:G,7,0)</f>
        <v>40</v>
      </c>
      <c r="L35" s="31">
        <f>VLOOKUP(D35,Coverage!A:H,8,0)</f>
        <v>1.1111111111111112</v>
      </c>
      <c r="M35" s="3">
        <f>VLOOKUP(D35,Coverage!A:I,9,0)</f>
        <v>6</v>
      </c>
      <c r="N35" s="30">
        <f t="shared" si="0"/>
        <v>8.4507042253521125E-2</v>
      </c>
    </row>
    <row r="36" spans="1:14" x14ac:dyDescent="0.35">
      <c r="A36" s="1" t="s">
        <v>25</v>
      </c>
      <c r="B36" s="13" t="s">
        <v>109</v>
      </c>
      <c r="C36" s="3" t="s">
        <v>110</v>
      </c>
      <c r="D36" s="1" t="s">
        <v>111</v>
      </c>
      <c r="E36" s="14" t="s">
        <v>112</v>
      </c>
      <c r="F36" s="3">
        <f>VLOOKUP(D36,Coverage!A:B,2,0)</f>
        <v>79</v>
      </c>
      <c r="G36" s="3">
        <f>VLOOKUP(D36,Coverage!A:C,3,0)</f>
        <v>70</v>
      </c>
      <c r="H36" s="30">
        <f>VLOOKUP(D36,Coverage!A:D,4,0)</f>
        <v>0.88607594936708856</v>
      </c>
      <c r="I36" s="3">
        <f>VLOOKUP(D36,Coverage!A:E,5,0)</f>
        <v>9</v>
      </c>
      <c r="J36" s="3">
        <f>VLOOKUP(D36,Coverage!A:F,6,0)</f>
        <v>72</v>
      </c>
      <c r="K36" s="3">
        <f>VLOOKUP(D36,Coverage!A:G,7,0)</f>
        <v>147</v>
      </c>
      <c r="L36" s="31">
        <f>VLOOKUP(D36,Coverage!A:H,8,0)</f>
        <v>2.0416666666666665</v>
      </c>
      <c r="M36" s="3">
        <f>VLOOKUP(D36,Coverage!A:I,9,0)</f>
        <v>25</v>
      </c>
      <c r="N36" s="30">
        <f t="shared" si="0"/>
        <v>0.31645569620253167</v>
      </c>
    </row>
    <row r="37" spans="1:14" x14ac:dyDescent="0.35">
      <c r="A37" s="1" t="s">
        <v>25</v>
      </c>
      <c r="B37" s="19">
        <v>44703</v>
      </c>
      <c r="C37" s="10">
        <v>576</v>
      </c>
      <c r="D37" s="20" t="s">
        <v>113</v>
      </c>
      <c r="E37" s="18" t="s">
        <v>114</v>
      </c>
      <c r="F37" s="10">
        <f>SUM(F36)</f>
        <v>79</v>
      </c>
      <c r="G37" s="10">
        <f>SUM(G36)</f>
        <v>70</v>
      </c>
      <c r="H37" s="32">
        <f>G37/F37</f>
        <v>0.88607594936708856</v>
      </c>
      <c r="I37" s="10">
        <f t="shared" ref="I37:M37" si="4">SUM(I36)</f>
        <v>9</v>
      </c>
      <c r="J37" s="10">
        <f t="shared" si="4"/>
        <v>72</v>
      </c>
      <c r="K37" s="10">
        <f t="shared" si="4"/>
        <v>147</v>
      </c>
      <c r="L37" s="33">
        <f>AVERAGE(L36)</f>
        <v>2.0416666666666665</v>
      </c>
      <c r="M37" s="10">
        <f t="shared" si="4"/>
        <v>25</v>
      </c>
      <c r="N37" s="32">
        <f t="shared" si="0"/>
        <v>0.31645569620253167</v>
      </c>
    </row>
    <row r="38" spans="1:14" x14ac:dyDescent="0.35">
      <c r="A38" s="1" t="s">
        <v>25</v>
      </c>
      <c r="B38" s="13">
        <v>46032</v>
      </c>
      <c r="C38" s="3">
        <v>2024</v>
      </c>
      <c r="D38" s="5" t="s">
        <v>115</v>
      </c>
      <c r="E38" s="14" t="s">
        <v>116</v>
      </c>
      <c r="F38" s="3">
        <f>VLOOKUP(D38,Coverage!A:B,2,0)</f>
        <v>76</v>
      </c>
      <c r="G38" s="3">
        <f>VLOOKUP(D38,Coverage!A:C,3,0)</f>
        <v>72</v>
      </c>
      <c r="H38" s="30">
        <f>VLOOKUP(D38,Coverage!A:D,4,0)</f>
        <v>0.94736842105263153</v>
      </c>
      <c r="I38" s="3">
        <f>VLOOKUP(D38,Coverage!A:E,5,0)</f>
        <v>4</v>
      </c>
      <c r="J38" s="3">
        <f>VLOOKUP(D38,Coverage!A:F,6,0)</f>
        <v>73</v>
      </c>
      <c r="K38" s="3">
        <f>VLOOKUP(D38,Coverage!A:G,7,0)</f>
        <v>163</v>
      </c>
      <c r="L38" s="31">
        <f>VLOOKUP(D38,Coverage!A:H,8,0)</f>
        <v>2.2328767123287672</v>
      </c>
      <c r="M38" s="3">
        <f>VLOOKUP(D38,Coverage!A:I,9,0)</f>
        <v>63</v>
      </c>
      <c r="N38" s="30">
        <f t="shared" si="0"/>
        <v>0.82894736842105265</v>
      </c>
    </row>
    <row r="39" spans="1:14" x14ac:dyDescent="0.35">
      <c r="A39" s="1" t="s">
        <v>25</v>
      </c>
      <c r="B39" s="13" t="s">
        <v>117</v>
      </c>
      <c r="C39" s="3" t="s">
        <v>118</v>
      </c>
      <c r="D39" s="21" t="s">
        <v>119</v>
      </c>
      <c r="E39" s="14" t="s">
        <v>120</v>
      </c>
      <c r="F39" s="3">
        <f>VLOOKUP(D39,Coverage!A:B,2,0)</f>
        <v>67</v>
      </c>
      <c r="G39" s="3">
        <f>VLOOKUP(D39,Coverage!A:C,3,0)</f>
        <v>66</v>
      </c>
      <c r="H39" s="30">
        <f>VLOOKUP(D39,Coverage!A:D,4,0)</f>
        <v>0.9850746268656716</v>
      </c>
      <c r="I39" s="3">
        <f>VLOOKUP(D39,Coverage!A:E,5,0)</f>
        <v>1</v>
      </c>
      <c r="J39" s="3">
        <f>VLOOKUP(D39,Coverage!A:F,6,0)</f>
        <v>67</v>
      </c>
      <c r="K39" s="3">
        <f>VLOOKUP(D39,Coverage!A:G,7,0)</f>
        <v>129</v>
      </c>
      <c r="L39" s="31">
        <f>VLOOKUP(D39,Coverage!A:H,8,0)</f>
        <v>1.9253731343283582</v>
      </c>
      <c r="M39" s="3">
        <f>VLOOKUP(D39,Coverage!A:I,9,0)</f>
        <v>64</v>
      </c>
      <c r="N39" s="30">
        <f t="shared" si="0"/>
        <v>0.95522388059701491</v>
      </c>
    </row>
    <row r="40" spans="1:14" x14ac:dyDescent="0.35">
      <c r="A40" s="1" t="s">
        <v>25</v>
      </c>
      <c r="B40" s="13">
        <v>46023</v>
      </c>
      <c r="C40" s="3">
        <v>2023</v>
      </c>
      <c r="D40" s="5" t="s">
        <v>121</v>
      </c>
      <c r="E40" s="14" t="s">
        <v>122</v>
      </c>
      <c r="F40" s="3">
        <f>VLOOKUP(D40,Coverage!A:B,2,0)</f>
        <v>68</v>
      </c>
      <c r="G40" s="3">
        <f>VLOOKUP(D40,Coverage!A:C,3,0)</f>
        <v>59</v>
      </c>
      <c r="H40" s="30">
        <f>VLOOKUP(D40,Coverage!A:D,4,0)</f>
        <v>0.86764705882352944</v>
      </c>
      <c r="I40" s="3">
        <f>VLOOKUP(D40,Coverage!A:E,5,0)</f>
        <v>9</v>
      </c>
      <c r="J40" s="3">
        <f>VLOOKUP(D40,Coverage!A:F,6,0)</f>
        <v>60</v>
      </c>
      <c r="K40" s="3">
        <f>VLOOKUP(D40,Coverage!A:G,7,0)</f>
        <v>120</v>
      </c>
      <c r="L40" s="31">
        <f>VLOOKUP(D40,Coverage!A:H,8,0)</f>
        <v>2</v>
      </c>
      <c r="M40" s="3">
        <f>VLOOKUP(D40,Coverage!A:I,9,0)</f>
        <v>43</v>
      </c>
      <c r="N40" s="30">
        <f t="shared" si="0"/>
        <v>0.63235294117647056</v>
      </c>
    </row>
    <row r="41" spans="1:14" x14ac:dyDescent="0.35">
      <c r="A41" s="1" t="s">
        <v>25</v>
      </c>
      <c r="B41" s="13" t="s">
        <v>123</v>
      </c>
      <c r="C41" s="3">
        <v>1757</v>
      </c>
      <c r="D41" s="1" t="s">
        <v>124</v>
      </c>
      <c r="E41" s="14" t="s">
        <v>125</v>
      </c>
      <c r="F41" s="3">
        <f>VLOOKUP(D41,Coverage!A:B,2,0)</f>
        <v>70</v>
      </c>
      <c r="G41" s="3">
        <f>VLOOKUP(D41,Coverage!A:C,3,0)</f>
        <v>66</v>
      </c>
      <c r="H41" s="30">
        <f>VLOOKUP(D41,Coverage!A:D,4,0)</f>
        <v>0.94285714285714284</v>
      </c>
      <c r="I41" s="3">
        <f>VLOOKUP(D41,Coverage!A:E,5,0)</f>
        <v>4</v>
      </c>
      <c r="J41" s="3">
        <f>VLOOKUP(D41,Coverage!A:F,6,0)</f>
        <v>66</v>
      </c>
      <c r="K41" s="3">
        <f>VLOOKUP(D41,Coverage!A:G,7,0)</f>
        <v>122</v>
      </c>
      <c r="L41" s="31">
        <f>VLOOKUP(D41,Coverage!A:H,8,0)</f>
        <v>1.8484848484848484</v>
      </c>
      <c r="M41" s="3">
        <f>VLOOKUP(D41,Coverage!A:I,9,0)</f>
        <v>56</v>
      </c>
      <c r="N41" s="30">
        <f t="shared" si="0"/>
        <v>0.8</v>
      </c>
    </row>
    <row r="42" spans="1:14" x14ac:dyDescent="0.35">
      <c r="A42" s="1" t="s">
        <v>25</v>
      </c>
      <c r="B42" s="13"/>
      <c r="C42" s="3"/>
      <c r="D42" s="4" t="s">
        <v>126</v>
      </c>
      <c r="E42" s="14" t="s">
        <v>127</v>
      </c>
      <c r="F42" s="3" t="e">
        <f>VLOOKUP(D42,Coverage!A:B,2,0)</f>
        <v>#N/A</v>
      </c>
      <c r="G42" s="3" t="e">
        <f>VLOOKUP(D42,Coverage!A:C,3,0)</f>
        <v>#N/A</v>
      </c>
      <c r="H42" s="30" t="e">
        <f>VLOOKUP(D42,Coverage!A:D,4,0)</f>
        <v>#N/A</v>
      </c>
      <c r="I42" s="3" t="e">
        <f>VLOOKUP(D42,Coverage!A:E,5,0)</f>
        <v>#N/A</v>
      </c>
      <c r="J42" s="3" t="e">
        <f>VLOOKUP(D42,Coverage!A:F,6,0)</f>
        <v>#N/A</v>
      </c>
      <c r="K42" s="3" t="e">
        <f>VLOOKUP(D42,Coverage!A:G,7,0)</f>
        <v>#N/A</v>
      </c>
      <c r="L42" s="31" t="e">
        <f>VLOOKUP(D42,Coverage!A:H,8,0)</f>
        <v>#N/A</v>
      </c>
      <c r="M42" s="3" t="e">
        <f>VLOOKUP(D42,Coverage!A:I,9,0)</f>
        <v>#N/A</v>
      </c>
      <c r="N42" s="30" t="e">
        <f t="shared" si="0"/>
        <v>#N/A</v>
      </c>
    </row>
    <row r="43" spans="1:14" x14ac:dyDescent="0.35">
      <c r="A43" s="1" t="s">
        <v>25</v>
      </c>
      <c r="B43" s="13" t="s">
        <v>12</v>
      </c>
      <c r="C43" s="3" t="s">
        <v>128</v>
      </c>
      <c r="D43" s="1" t="s">
        <v>129</v>
      </c>
      <c r="E43" s="22" t="s">
        <v>130</v>
      </c>
      <c r="F43" s="3">
        <f>VLOOKUP(D43,Coverage!A:B,2,0)</f>
        <v>71</v>
      </c>
      <c r="G43" s="3">
        <f>VLOOKUP(D43,Coverage!A:C,3,0)</f>
        <v>71</v>
      </c>
      <c r="H43" s="30">
        <f>VLOOKUP(D43,Coverage!A:D,4,0)</f>
        <v>1</v>
      </c>
      <c r="I43" s="3">
        <f>VLOOKUP(D43,Coverage!A:E,5,0)</f>
        <v>0</v>
      </c>
      <c r="J43" s="3">
        <f>VLOOKUP(D43,Coverage!A:F,6,0)</f>
        <v>71</v>
      </c>
      <c r="K43" s="3">
        <f>VLOOKUP(D43,Coverage!A:G,7,0)</f>
        <v>129</v>
      </c>
      <c r="L43" s="31">
        <f>VLOOKUP(D43,Coverage!A:H,8,0)</f>
        <v>1.8169014084507042</v>
      </c>
      <c r="M43" s="3">
        <f>VLOOKUP(D43,Coverage!A:I,9,0)</f>
        <v>52</v>
      </c>
      <c r="N43" s="30">
        <f t="shared" si="0"/>
        <v>0.73239436619718312</v>
      </c>
    </row>
    <row r="44" spans="1:14" x14ac:dyDescent="0.35">
      <c r="A44" s="1" t="s">
        <v>25</v>
      </c>
      <c r="B44" s="13" t="s">
        <v>131</v>
      </c>
      <c r="C44" s="3" t="s">
        <v>132</v>
      </c>
      <c r="D44" s="1" t="s">
        <v>133</v>
      </c>
      <c r="E44" s="22" t="s">
        <v>134</v>
      </c>
      <c r="F44" s="3">
        <f>VLOOKUP(D44,Coverage!A:B,2,0)</f>
        <v>66</v>
      </c>
      <c r="G44" s="3">
        <f>VLOOKUP(D44,Coverage!A:C,3,0)</f>
        <v>66</v>
      </c>
      <c r="H44" s="30">
        <f>VLOOKUP(D44,Coverage!A:D,4,0)</f>
        <v>1</v>
      </c>
      <c r="I44" s="3">
        <f>VLOOKUP(D44,Coverage!A:E,5,0)</f>
        <v>0</v>
      </c>
      <c r="J44" s="3">
        <f>VLOOKUP(D44,Coverage!A:F,6,0)</f>
        <v>66</v>
      </c>
      <c r="K44" s="3">
        <f>VLOOKUP(D44,Coverage!A:G,7,0)</f>
        <v>121</v>
      </c>
      <c r="L44" s="31">
        <f>VLOOKUP(D44,Coverage!A:H,8,0)</f>
        <v>1.8333333333333333</v>
      </c>
      <c r="M44" s="3">
        <f>VLOOKUP(D44,Coverage!A:I,9,0)</f>
        <v>49</v>
      </c>
      <c r="N44" s="30">
        <f t="shared" si="0"/>
        <v>0.74242424242424243</v>
      </c>
    </row>
    <row r="45" spans="1:14" x14ac:dyDescent="0.35">
      <c r="A45" s="1" t="s">
        <v>25</v>
      </c>
      <c r="B45" s="13">
        <v>46032</v>
      </c>
      <c r="C45" s="3">
        <v>2092</v>
      </c>
      <c r="D45" s="5" t="s">
        <v>135</v>
      </c>
      <c r="E45" s="22" t="s">
        <v>136</v>
      </c>
      <c r="F45" s="3">
        <f>VLOOKUP(D45,Coverage!A:B,2,0)</f>
        <v>63</v>
      </c>
      <c r="G45" s="3">
        <f>VLOOKUP(D45,Coverage!A:C,3,0)</f>
        <v>59</v>
      </c>
      <c r="H45" s="30">
        <f>VLOOKUP(D45,Coverage!A:D,4,0)</f>
        <v>0.93650793650793651</v>
      </c>
      <c r="I45" s="3">
        <f>VLOOKUP(D45,Coverage!A:E,5,0)</f>
        <v>4</v>
      </c>
      <c r="J45" s="3">
        <f>VLOOKUP(D45,Coverage!A:F,6,0)</f>
        <v>67</v>
      </c>
      <c r="K45" s="3">
        <f>VLOOKUP(D45,Coverage!A:G,7,0)</f>
        <v>155</v>
      </c>
      <c r="L45" s="31">
        <f>VLOOKUP(D45,Coverage!A:H,8,0)</f>
        <v>2.3134328358208953</v>
      </c>
      <c r="M45" s="3">
        <f>VLOOKUP(D45,Coverage!A:I,9,0)</f>
        <v>47</v>
      </c>
      <c r="N45" s="30">
        <f t="shared" si="0"/>
        <v>0.74603174603174605</v>
      </c>
    </row>
    <row r="46" spans="1:14" x14ac:dyDescent="0.35">
      <c r="A46" s="1" t="s">
        <v>25</v>
      </c>
      <c r="B46" s="17" t="s">
        <v>14</v>
      </c>
      <c r="C46" s="10" t="s">
        <v>137</v>
      </c>
      <c r="D46" s="9" t="s">
        <v>138</v>
      </c>
      <c r="E46" s="18" t="s">
        <v>139</v>
      </c>
      <c r="F46" s="10">
        <f>SUM(F39,F41,F43:F44)</f>
        <v>274</v>
      </c>
      <c r="G46" s="10">
        <f>SUM(G39,G41,G43:G44)</f>
        <v>269</v>
      </c>
      <c r="H46" s="32">
        <f>G46/F46</f>
        <v>0.98175182481751821</v>
      </c>
      <c r="I46" s="10">
        <f t="shared" ref="I46:M46" si="5">SUM(I39,I41,I43:I44)</f>
        <v>5</v>
      </c>
      <c r="J46" s="10">
        <f t="shared" si="5"/>
        <v>270</v>
      </c>
      <c r="K46" s="10">
        <f t="shared" si="5"/>
        <v>501</v>
      </c>
      <c r="L46" s="33">
        <f>AVERAGE(L39,L41,L43:L44)</f>
        <v>1.8560231811493109</v>
      </c>
      <c r="M46" s="10">
        <f t="shared" si="5"/>
        <v>221</v>
      </c>
      <c r="N46" s="32">
        <f t="shared" si="0"/>
        <v>0.80656934306569339</v>
      </c>
    </row>
    <row r="47" spans="1:14" x14ac:dyDescent="0.35">
      <c r="A47" s="1" t="s">
        <v>25</v>
      </c>
      <c r="B47" s="13"/>
      <c r="C47" s="3"/>
      <c r="D47" s="4" t="s">
        <v>9</v>
      </c>
      <c r="E47" s="14" t="s">
        <v>140</v>
      </c>
      <c r="F47" s="3" t="e">
        <f>VLOOKUP(D47,Coverage!A:B,2,0)</f>
        <v>#N/A</v>
      </c>
      <c r="G47" s="3" t="e">
        <f>VLOOKUP(D47,Coverage!A:C,3,0)</f>
        <v>#N/A</v>
      </c>
      <c r="H47" s="30" t="e">
        <f>VLOOKUP(D47,Coverage!A:D,4,0)</f>
        <v>#N/A</v>
      </c>
      <c r="I47" s="3" t="e">
        <f>VLOOKUP(D47,Coverage!A:E,5,0)</f>
        <v>#N/A</v>
      </c>
      <c r="J47" s="3" t="e">
        <f>VLOOKUP(D47,Coverage!A:F,6,0)</f>
        <v>#N/A</v>
      </c>
      <c r="K47" s="3" t="e">
        <f>VLOOKUP(D47,Coverage!A:G,7,0)</f>
        <v>#N/A</v>
      </c>
      <c r="L47" s="31" t="e">
        <f>VLOOKUP(D47,Coverage!A:H,8,0)</f>
        <v>#N/A</v>
      </c>
      <c r="M47" s="3" t="e">
        <f>VLOOKUP(D47,Coverage!A:I,9,0)</f>
        <v>#N/A</v>
      </c>
      <c r="N47" s="30" t="e">
        <f t="shared" si="0"/>
        <v>#N/A</v>
      </c>
    </row>
    <row r="48" spans="1:14" x14ac:dyDescent="0.35">
      <c r="A48" s="1" t="s">
        <v>25</v>
      </c>
      <c r="B48" s="13" t="s">
        <v>141</v>
      </c>
      <c r="C48" s="3" t="s">
        <v>142</v>
      </c>
      <c r="D48" s="1" t="s">
        <v>143</v>
      </c>
      <c r="E48" s="14" t="s">
        <v>144</v>
      </c>
      <c r="F48" s="3">
        <f>VLOOKUP(D48,Coverage!A:B,2,0)</f>
        <v>75</v>
      </c>
      <c r="G48" s="3">
        <f>VLOOKUP(D48,Coverage!A:C,3,0)</f>
        <v>71</v>
      </c>
      <c r="H48" s="30">
        <f>VLOOKUP(D48,Coverage!A:D,4,0)</f>
        <v>0.94666666666666666</v>
      </c>
      <c r="I48" s="3">
        <f>VLOOKUP(D48,Coverage!A:E,5,0)</f>
        <v>4</v>
      </c>
      <c r="J48" s="3">
        <f>VLOOKUP(D48,Coverage!A:F,6,0)</f>
        <v>76</v>
      </c>
      <c r="K48" s="3">
        <f>VLOOKUP(D48,Coverage!A:G,7,0)</f>
        <v>131</v>
      </c>
      <c r="L48" s="31">
        <f>VLOOKUP(D48,Coverage!A:H,8,0)</f>
        <v>1.7236842105263157</v>
      </c>
      <c r="M48" s="3">
        <f>VLOOKUP(D48,Coverage!A:I,9,0)</f>
        <v>47</v>
      </c>
      <c r="N48" s="30">
        <f t="shared" si="0"/>
        <v>0.62666666666666671</v>
      </c>
    </row>
    <row r="49" spans="1:14" x14ac:dyDescent="0.35">
      <c r="A49" s="1" t="s">
        <v>25</v>
      </c>
      <c r="B49" s="13"/>
      <c r="C49" s="3"/>
      <c r="D49" s="4" t="s">
        <v>145</v>
      </c>
      <c r="E49" s="14" t="s">
        <v>146</v>
      </c>
      <c r="F49" s="3" t="e">
        <f>VLOOKUP(D49,Coverage!A:B,2,0)</f>
        <v>#N/A</v>
      </c>
      <c r="G49" s="3" t="e">
        <f>VLOOKUP(D49,Coverage!A:C,3,0)</f>
        <v>#N/A</v>
      </c>
      <c r="H49" s="30" t="e">
        <f>VLOOKUP(D49,Coverage!A:D,4,0)</f>
        <v>#N/A</v>
      </c>
      <c r="I49" s="3" t="e">
        <f>VLOOKUP(D49,Coverage!A:E,5,0)</f>
        <v>#N/A</v>
      </c>
      <c r="J49" s="3" t="e">
        <f>VLOOKUP(D49,Coverage!A:F,6,0)</f>
        <v>#N/A</v>
      </c>
      <c r="K49" s="3" t="e">
        <f>VLOOKUP(D49,Coverage!A:G,7,0)</f>
        <v>#N/A</v>
      </c>
      <c r="L49" s="31" t="e">
        <f>VLOOKUP(D49,Coverage!A:H,8,0)</f>
        <v>#N/A</v>
      </c>
      <c r="M49" s="3" t="e">
        <f>VLOOKUP(D49,Coverage!A:I,9,0)</f>
        <v>#N/A</v>
      </c>
      <c r="N49" s="30" t="e">
        <f t="shared" si="0"/>
        <v>#N/A</v>
      </c>
    </row>
    <row r="50" spans="1:14" x14ac:dyDescent="0.35">
      <c r="A50" s="1" t="s">
        <v>25</v>
      </c>
      <c r="B50" s="13" t="s">
        <v>13</v>
      </c>
      <c r="C50" s="3" t="s">
        <v>147</v>
      </c>
      <c r="D50" s="1" t="s">
        <v>148</v>
      </c>
      <c r="E50" s="14" t="s">
        <v>149</v>
      </c>
      <c r="F50" s="3">
        <f>VLOOKUP(D50,Coverage!A:B,2,0)</f>
        <v>75</v>
      </c>
      <c r="G50" s="3">
        <f>VLOOKUP(D50,Coverage!A:C,3,0)</f>
        <v>73</v>
      </c>
      <c r="H50" s="30">
        <f>VLOOKUP(D50,Coverage!A:D,4,0)</f>
        <v>0.97333333333333338</v>
      </c>
      <c r="I50" s="3">
        <f>VLOOKUP(D50,Coverage!A:E,5,0)</f>
        <v>2</v>
      </c>
      <c r="J50" s="3">
        <f>VLOOKUP(D50,Coverage!A:F,6,0)</f>
        <v>75</v>
      </c>
      <c r="K50" s="3">
        <f>VLOOKUP(D50,Coverage!A:G,7,0)</f>
        <v>144</v>
      </c>
      <c r="L50" s="31">
        <f>VLOOKUP(D50,Coverage!A:H,8,0)</f>
        <v>1.92</v>
      </c>
      <c r="M50" s="3">
        <f>VLOOKUP(D50,Coverage!A:I,9,0)</f>
        <v>56</v>
      </c>
      <c r="N50" s="30">
        <f t="shared" si="0"/>
        <v>0.7466666666666667</v>
      </c>
    </row>
    <row r="51" spans="1:14" x14ac:dyDescent="0.35">
      <c r="A51" s="1" t="s">
        <v>25</v>
      </c>
      <c r="B51" s="13">
        <v>46066</v>
      </c>
      <c r="C51" s="3">
        <v>2132</v>
      </c>
      <c r="D51" s="5" t="s">
        <v>150</v>
      </c>
      <c r="E51" s="14" t="s">
        <v>151</v>
      </c>
      <c r="F51" s="3">
        <f>VLOOKUP(D51,Coverage!A:B,2,0)</f>
        <v>77</v>
      </c>
      <c r="G51" s="3">
        <f>VLOOKUP(D51,Coverage!A:C,3,0)</f>
        <v>5</v>
      </c>
      <c r="H51" s="30">
        <f>VLOOKUP(D51,Coverage!A:D,4,0)</f>
        <v>6.4935064935064929E-2</v>
      </c>
      <c r="I51" s="3">
        <f>VLOOKUP(D51,Coverage!A:E,5,0)</f>
        <v>72</v>
      </c>
      <c r="J51" s="3">
        <f>VLOOKUP(D51,Coverage!A:F,6,0)</f>
        <v>6</v>
      </c>
      <c r="K51" s="3">
        <f>VLOOKUP(D51,Coverage!A:G,7,0)</f>
        <v>6</v>
      </c>
      <c r="L51" s="31">
        <f>VLOOKUP(D51,Coverage!A:H,8,0)</f>
        <v>1</v>
      </c>
      <c r="M51" s="3">
        <f>VLOOKUP(D51,Coverage!A:I,9,0)</f>
        <v>0</v>
      </c>
      <c r="N51" s="30">
        <f t="shared" si="0"/>
        <v>0</v>
      </c>
    </row>
    <row r="52" spans="1:14" x14ac:dyDescent="0.35">
      <c r="A52" s="1" t="s">
        <v>25</v>
      </c>
      <c r="B52" s="13">
        <v>0</v>
      </c>
      <c r="C52" s="3">
        <v>0</v>
      </c>
      <c r="D52" s="4" t="s">
        <v>21</v>
      </c>
      <c r="E52" s="14" t="s">
        <v>152</v>
      </c>
      <c r="F52" s="3" t="e">
        <f>VLOOKUP(D52,Coverage!A:B,2,0)</f>
        <v>#N/A</v>
      </c>
      <c r="G52" s="3" t="e">
        <f>VLOOKUP(D52,Coverage!A:C,3,0)</f>
        <v>#N/A</v>
      </c>
      <c r="H52" s="30" t="e">
        <f>VLOOKUP(D52,Coverage!A:D,4,0)</f>
        <v>#N/A</v>
      </c>
      <c r="I52" s="3" t="e">
        <f>VLOOKUP(D52,Coverage!A:E,5,0)</f>
        <v>#N/A</v>
      </c>
      <c r="J52" s="3" t="e">
        <f>VLOOKUP(D52,Coverage!A:F,6,0)</f>
        <v>#N/A</v>
      </c>
      <c r="K52" s="3" t="e">
        <f>VLOOKUP(D52,Coverage!A:G,7,0)</f>
        <v>#N/A</v>
      </c>
      <c r="L52" s="31" t="e">
        <f>VLOOKUP(D52,Coverage!A:H,8,0)</f>
        <v>#N/A</v>
      </c>
      <c r="M52" s="3" t="e">
        <f>VLOOKUP(D52,Coverage!A:I,9,0)</f>
        <v>#N/A</v>
      </c>
      <c r="N52" s="30" t="e">
        <f t="shared" si="0"/>
        <v>#N/A</v>
      </c>
    </row>
    <row r="53" spans="1:14" x14ac:dyDescent="0.35">
      <c r="A53" s="1" t="s">
        <v>25</v>
      </c>
      <c r="B53" s="19">
        <v>45444</v>
      </c>
      <c r="C53" s="20">
        <v>1187</v>
      </c>
      <c r="D53" s="20" t="s">
        <v>153</v>
      </c>
      <c r="E53" s="18" t="s">
        <v>154</v>
      </c>
      <c r="F53" s="10">
        <f>SUM(F48,F50)</f>
        <v>150</v>
      </c>
      <c r="G53" s="10">
        <f>SUM(G48,G50)</f>
        <v>144</v>
      </c>
      <c r="H53" s="32">
        <f>G53/F53</f>
        <v>0.96</v>
      </c>
      <c r="I53" s="10">
        <f t="shared" ref="I53:M53" si="6">SUM(I48,I50)</f>
        <v>6</v>
      </c>
      <c r="J53" s="10">
        <f t="shared" si="6"/>
        <v>151</v>
      </c>
      <c r="K53" s="10">
        <f t="shared" si="6"/>
        <v>275</v>
      </c>
      <c r="L53" s="33">
        <f>AVERAGE(L48,L50)</f>
        <v>1.8218421052631579</v>
      </c>
      <c r="M53" s="10">
        <f t="shared" si="6"/>
        <v>103</v>
      </c>
      <c r="N53" s="32">
        <f t="shared" si="0"/>
        <v>0.68666666666666665</v>
      </c>
    </row>
    <row r="54" spans="1:14" x14ac:dyDescent="0.35">
      <c r="A54" s="1" t="s">
        <v>25</v>
      </c>
      <c r="B54" s="13">
        <v>46023</v>
      </c>
      <c r="C54" s="3">
        <v>2009</v>
      </c>
      <c r="D54" s="5" t="s">
        <v>155</v>
      </c>
      <c r="E54" s="14" t="s">
        <v>156</v>
      </c>
      <c r="F54" s="3">
        <f>VLOOKUP(D54,Coverage!A:B,2,0)</f>
        <v>84</v>
      </c>
      <c r="G54" s="3">
        <f>VLOOKUP(D54,Coverage!A:C,3,0)</f>
        <v>79</v>
      </c>
      <c r="H54" s="30">
        <f>VLOOKUP(D54,Coverage!A:D,4,0)</f>
        <v>0.94047619047619047</v>
      </c>
      <c r="I54" s="3">
        <f>VLOOKUP(D54,Coverage!A:E,5,0)</f>
        <v>5</v>
      </c>
      <c r="J54" s="3">
        <f>VLOOKUP(D54,Coverage!A:F,6,0)</f>
        <v>79</v>
      </c>
      <c r="K54" s="3">
        <f>VLOOKUP(D54,Coverage!A:G,7,0)</f>
        <v>164</v>
      </c>
      <c r="L54" s="31">
        <f>VLOOKUP(D54,Coverage!A:H,8,0)</f>
        <v>2.0759493670886076</v>
      </c>
      <c r="M54" s="3">
        <f>VLOOKUP(D54,Coverage!A:I,9,0)</f>
        <v>42</v>
      </c>
      <c r="N54" s="30">
        <f t="shared" si="0"/>
        <v>0.5</v>
      </c>
    </row>
    <row r="55" spans="1:14" x14ac:dyDescent="0.35">
      <c r="A55" s="1" t="s">
        <v>25</v>
      </c>
      <c r="B55" s="13" t="s">
        <v>157</v>
      </c>
      <c r="C55" s="3" t="s">
        <v>158</v>
      </c>
      <c r="D55" s="1" t="s">
        <v>159</v>
      </c>
      <c r="E55" s="14" t="s">
        <v>160</v>
      </c>
      <c r="F55" s="3">
        <f>VLOOKUP(D55,Coverage!A:B,2,0)</f>
        <v>90</v>
      </c>
      <c r="G55" s="3">
        <f>VLOOKUP(D55,Coverage!A:C,3,0)</f>
        <v>84</v>
      </c>
      <c r="H55" s="30">
        <f>VLOOKUP(D55,Coverage!A:D,4,0)</f>
        <v>0.93333333333333335</v>
      </c>
      <c r="I55" s="3">
        <f>VLOOKUP(D55,Coverage!A:E,5,0)</f>
        <v>6</v>
      </c>
      <c r="J55" s="3">
        <f>VLOOKUP(D55,Coverage!A:F,6,0)</f>
        <v>84</v>
      </c>
      <c r="K55" s="3">
        <f>VLOOKUP(D55,Coverage!A:G,7,0)</f>
        <v>169</v>
      </c>
      <c r="L55" s="31">
        <f>VLOOKUP(D55,Coverage!A:H,8,0)</f>
        <v>2.0119047619047619</v>
      </c>
      <c r="M55" s="3">
        <f>VLOOKUP(D55,Coverage!A:I,9,0)</f>
        <v>73</v>
      </c>
      <c r="N55" s="30">
        <f t="shared" si="0"/>
        <v>0.81111111111111112</v>
      </c>
    </row>
    <row r="56" spans="1:14" x14ac:dyDescent="0.35">
      <c r="A56" s="1" t="s">
        <v>25</v>
      </c>
      <c r="B56" s="13"/>
      <c r="C56" s="3"/>
      <c r="D56" s="4" t="s">
        <v>161</v>
      </c>
      <c r="E56" s="14" t="s">
        <v>162</v>
      </c>
      <c r="F56" s="3" t="e">
        <f>VLOOKUP(D56,Coverage!A:B,2,0)</f>
        <v>#N/A</v>
      </c>
      <c r="G56" s="3" t="e">
        <f>VLOOKUP(D56,Coverage!A:C,3,0)</f>
        <v>#N/A</v>
      </c>
      <c r="H56" s="30" t="e">
        <f>VLOOKUP(D56,Coverage!A:D,4,0)</f>
        <v>#N/A</v>
      </c>
      <c r="I56" s="3" t="e">
        <f>VLOOKUP(D56,Coverage!A:E,5,0)</f>
        <v>#N/A</v>
      </c>
      <c r="J56" s="3" t="e">
        <f>VLOOKUP(D56,Coverage!A:F,6,0)</f>
        <v>#N/A</v>
      </c>
      <c r="K56" s="3" t="e">
        <f>VLOOKUP(D56,Coverage!A:G,7,0)</f>
        <v>#N/A</v>
      </c>
      <c r="L56" s="31" t="e">
        <f>VLOOKUP(D56,Coverage!A:H,8,0)</f>
        <v>#N/A</v>
      </c>
      <c r="M56" s="3" t="e">
        <f>VLOOKUP(D56,Coverage!A:I,9,0)</f>
        <v>#N/A</v>
      </c>
      <c r="N56" s="30" t="e">
        <f t="shared" si="0"/>
        <v>#N/A</v>
      </c>
    </row>
    <row r="57" spans="1:14" x14ac:dyDescent="0.35">
      <c r="A57" s="1" t="s">
        <v>25</v>
      </c>
      <c r="B57" s="13" t="s">
        <v>163</v>
      </c>
      <c r="C57" s="3" t="s">
        <v>164</v>
      </c>
      <c r="D57" s="1" t="s">
        <v>165</v>
      </c>
      <c r="E57" s="14" t="s">
        <v>166</v>
      </c>
      <c r="F57" s="3">
        <f>VLOOKUP(D57,Coverage!A:B,2,0)</f>
        <v>88</v>
      </c>
      <c r="G57" s="3">
        <f>VLOOKUP(D57,Coverage!A:C,3,0)</f>
        <v>79</v>
      </c>
      <c r="H57" s="30">
        <f>VLOOKUP(D57,Coverage!A:D,4,0)</f>
        <v>0.89772727272727271</v>
      </c>
      <c r="I57" s="3">
        <f>VLOOKUP(D57,Coverage!A:E,5,0)</f>
        <v>9</v>
      </c>
      <c r="J57" s="3">
        <f>VLOOKUP(D57,Coverage!A:F,6,0)</f>
        <v>79</v>
      </c>
      <c r="K57" s="3">
        <f>VLOOKUP(D57,Coverage!A:G,7,0)</f>
        <v>170</v>
      </c>
      <c r="L57" s="31">
        <f>VLOOKUP(D57,Coverage!A:H,8,0)</f>
        <v>2.1518987341772151</v>
      </c>
      <c r="M57" s="3">
        <f>VLOOKUP(D57,Coverage!A:I,9,0)</f>
        <v>72</v>
      </c>
      <c r="N57" s="30">
        <f t="shared" si="0"/>
        <v>0.81818181818181823</v>
      </c>
    </row>
    <row r="58" spans="1:14" x14ac:dyDescent="0.35">
      <c r="A58" s="1" t="s">
        <v>25</v>
      </c>
      <c r="B58" s="13">
        <v>46023</v>
      </c>
      <c r="C58" s="3">
        <v>2010</v>
      </c>
      <c r="D58" s="5" t="s">
        <v>167</v>
      </c>
      <c r="E58" s="14" t="s">
        <v>168</v>
      </c>
      <c r="F58" s="3">
        <f>VLOOKUP(D58,Coverage!A:B,2,0)</f>
        <v>89</v>
      </c>
      <c r="G58" s="3">
        <f>VLOOKUP(D58,Coverage!A:C,3,0)</f>
        <v>63</v>
      </c>
      <c r="H58" s="30">
        <f>VLOOKUP(D58,Coverage!A:D,4,0)</f>
        <v>0.7078651685393258</v>
      </c>
      <c r="I58" s="3">
        <f>VLOOKUP(D58,Coverage!A:E,5,0)</f>
        <v>26</v>
      </c>
      <c r="J58" s="3">
        <f>VLOOKUP(D58,Coverage!A:F,6,0)</f>
        <v>73</v>
      </c>
      <c r="K58" s="3">
        <f>VLOOKUP(D58,Coverage!A:G,7,0)</f>
        <v>147</v>
      </c>
      <c r="L58" s="31">
        <f>VLOOKUP(D58,Coverage!A:H,8,0)</f>
        <v>2.0136986301369864</v>
      </c>
      <c r="M58" s="3">
        <f>VLOOKUP(D58,Coverage!A:I,9,0)</f>
        <v>22</v>
      </c>
      <c r="N58" s="30">
        <f t="shared" si="0"/>
        <v>0.24719101123595505</v>
      </c>
    </row>
    <row r="59" spans="1:14" x14ac:dyDescent="0.35">
      <c r="A59" s="1" t="s">
        <v>25</v>
      </c>
      <c r="B59" s="13" t="s">
        <v>14</v>
      </c>
      <c r="C59" s="3" t="s">
        <v>169</v>
      </c>
      <c r="D59" s="1" t="s">
        <v>170</v>
      </c>
      <c r="E59" s="14" t="s">
        <v>171</v>
      </c>
      <c r="F59" s="3">
        <f>VLOOKUP(D59,Coverage!A:B,2,0)</f>
        <v>68</v>
      </c>
      <c r="G59" s="3">
        <f>VLOOKUP(D59,Coverage!A:C,3,0)</f>
        <v>65</v>
      </c>
      <c r="H59" s="30">
        <f>VLOOKUP(D59,Coverage!A:D,4,0)</f>
        <v>0.95588235294117652</v>
      </c>
      <c r="I59" s="3">
        <f>VLOOKUP(D59,Coverage!A:E,5,0)</f>
        <v>3</v>
      </c>
      <c r="J59" s="3">
        <f>VLOOKUP(D59,Coverage!A:F,6,0)</f>
        <v>65</v>
      </c>
      <c r="K59" s="3">
        <f>VLOOKUP(D59,Coverage!A:G,7,0)</f>
        <v>161</v>
      </c>
      <c r="L59" s="31">
        <f>VLOOKUP(D59,Coverage!A:H,8,0)</f>
        <v>2.476923076923077</v>
      </c>
      <c r="M59" s="3">
        <f>VLOOKUP(D59,Coverage!A:I,9,0)</f>
        <v>48</v>
      </c>
      <c r="N59" s="30">
        <f t="shared" si="0"/>
        <v>0.70588235294117652</v>
      </c>
    </row>
    <row r="60" spans="1:14" x14ac:dyDescent="0.35">
      <c r="A60" s="1" t="s">
        <v>25</v>
      </c>
      <c r="B60" s="17"/>
      <c r="C60" s="10"/>
      <c r="D60" s="11" t="s">
        <v>22</v>
      </c>
      <c r="E60" s="18" t="s">
        <v>172</v>
      </c>
      <c r="F60" s="10">
        <f>SUM(F55,F57,F59)</f>
        <v>246</v>
      </c>
      <c r="G60" s="10">
        <f>SUM(G55,G57,G59)</f>
        <v>228</v>
      </c>
      <c r="H60" s="32">
        <f>G60/F60</f>
        <v>0.92682926829268297</v>
      </c>
      <c r="I60" s="10">
        <f t="shared" ref="I60:M60" si="7">SUM(I55,I57,I59)</f>
        <v>18</v>
      </c>
      <c r="J60" s="10">
        <f t="shared" si="7"/>
        <v>228</v>
      </c>
      <c r="K60" s="10">
        <f t="shared" si="7"/>
        <v>500</v>
      </c>
      <c r="L60" s="33">
        <f>AVERAGE(L55,L57,L59)</f>
        <v>2.2135755243350181</v>
      </c>
      <c r="M60" s="10">
        <f t="shared" si="7"/>
        <v>193</v>
      </c>
      <c r="N60" s="32">
        <f t="shared" si="0"/>
        <v>0.78455284552845528</v>
      </c>
    </row>
    <row r="61" spans="1:14" x14ac:dyDescent="0.35">
      <c r="A61" s="1" t="s">
        <v>25</v>
      </c>
      <c r="B61" s="13" t="s">
        <v>123</v>
      </c>
      <c r="C61" s="3" t="s">
        <v>173</v>
      </c>
      <c r="D61" s="1" t="s">
        <v>174</v>
      </c>
      <c r="E61" s="14" t="s">
        <v>175</v>
      </c>
      <c r="F61" s="3">
        <f>VLOOKUP(D61,Coverage!A:B,2,0)</f>
        <v>88</v>
      </c>
      <c r="G61" s="3">
        <f>VLOOKUP(D61,Coverage!A:C,3,0)</f>
        <v>83</v>
      </c>
      <c r="H61" s="30">
        <f>VLOOKUP(D61,Coverage!A:D,4,0)</f>
        <v>0.94318181818181823</v>
      </c>
      <c r="I61" s="3">
        <f>VLOOKUP(D61,Coverage!A:E,5,0)</f>
        <v>5</v>
      </c>
      <c r="J61" s="3">
        <f>VLOOKUP(D61,Coverage!A:F,6,0)</f>
        <v>84</v>
      </c>
      <c r="K61" s="3">
        <f>VLOOKUP(D61,Coverage!A:G,7,0)</f>
        <v>173</v>
      </c>
      <c r="L61" s="31">
        <f>VLOOKUP(D61,Coverage!A:H,8,0)</f>
        <v>2.0595238095238093</v>
      </c>
      <c r="M61" s="3">
        <f>VLOOKUP(D61,Coverage!A:I,9,0)</f>
        <v>53</v>
      </c>
      <c r="N61" s="30">
        <f t="shared" si="0"/>
        <v>0.60227272727272729</v>
      </c>
    </row>
    <row r="62" spans="1:14" x14ac:dyDescent="0.35">
      <c r="A62" s="1" t="s">
        <v>25</v>
      </c>
      <c r="B62" s="13">
        <v>46060</v>
      </c>
      <c r="C62" s="3">
        <v>2130</v>
      </c>
      <c r="D62" s="5" t="s">
        <v>176</v>
      </c>
      <c r="E62" s="14" t="s">
        <v>177</v>
      </c>
      <c r="F62" s="3">
        <f>VLOOKUP(D62,Coverage!A:B,2,0)</f>
        <v>80</v>
      </c>
      <c r="G62" s="3">
        <f>VLOOKUP(D62,Coverage!A:C,3,0)</f>
        <v>29</v>
      </c>
      <c r="H62" s="30">
        <f>VLOOKUP(D62,Coverage!A:D,4,0)</f>
        <v>0.36249999999999999</v>
      </c>
      <c r="I62" s="3">
        <f>VLOOKUP(D62,Coverage!A:E,5,0)</f>
        <v>51</v>
      </c>
      <c r="J62" s="3">
        <f>VLOOKUP(D62,Coverage!A:F,6,0)</f>
        <v>30</v>
      </c>
      <c r="K62" s="3">
        <f>VLOOKUP(D62,Coverage!A:G,7,0)</f>
        <v>35</v>
      </c>
      <c r="L62" s="31">
        <f>VLOOKUP(D62,Coverage!A:H,8,0)</f>
        <v>1.1666666666666667</v>
      </c>
      <c r="M62" s="3">
        <f>VLOOKUP(D62,Coverage!A:I,9,0)</f>
        <v>0</v>
      </c>
      <c r="N62" s="30">
        <f t="shared" si="0"/>
        <v>0</v>
      </c>
    </row>
    <row r="63" spans="1:14" x14ac:dyDescent="0.35">
      <c r="A63" s="1" t="s">
        <v>25</v>
      </c>
      <c r="B63" s="13" t="s">
        <v>12</v>
      </c>
      <c r="C63" s="3" t="s">
        <v>178</v>
      </c>
      <c r="D63" s="12" t="s">
        <v>179</v>
      </c>
      <c r="E63" s="14" t="s">
        <v>180</v>
      </c>
      <c r="F63" s="3">
        <f>VLOOKUP(D63,Coverage!A:B,2,0)</f>
        <v>103</v>
      </c>
      <c r="G63" s="3">
        <f>VLOOKUP(D63,Coverage!A:C,3,0)</f>
        <v>97</v>
      </c>
      <c r="H63" s="30">
        <f>VLOOKUP(D63,Coverage!A:D,4,0)</f>
        <v>0.94174757281553401</v>
      </c>
      <c r="I63" s="3">
        <f>VLOOKUP(D63,Coverage!A:E,5,0)</f>
        <v>6</v>
      </c>
      <c r="J63" s="3">
        <f>VLOOKUP(D63,Coverage!A:F,6,0)</f>
        <v>97</v>
      </c>
      <c r="K63" s="3">
        <f>VLOOKUP(D63,Coverage!A:G,7,0)</f>
        <v>172</v>
      </c>
      <c r="L63" s="31">
        <f>VLOOKUP(D63,Coverage!A:H,8,0)</f>
        <v>1.7731958762886597</v>
      </c>
      <c r="M63" s="3">
        <f>VLOOKUP(D63,Coverage!A:I,9,0)</f>
        <v>52</v>
      </c>
      <c r="N63" s="30">
        <f t="shared" si="0"/>
        <v>0.50485436893203883</v>
      </c>
    </row>
    <row r="64" spans="1:14" x14ac:dyDescent="0.35">
      <c r="A64" s="1" t="s">
        <v>25</v>
      </c>
      <c r="B64" s="13">
        <v>46025</v>
      </c>
      <c r="C64" s="3">
        <v>2022</v>
      </c>
      <c r="D64" s="5" t="s">
        <v>181</v>
      </c>
      <c r="E64" s="14" t="s">
        <v>182</v>
      </c>
      <c r="F64" s="3">
        <f>VLOOKUP(D64,Coverage!A:B,2,0)</f>
        <v>91</v>
      </c>
      <c r="G64" s="3">
        <f>VLOOKUP(D64,Coverage!A:C,3,0)</f>
        <v>71</v>
      </c>
      <c r="H64" s="30">
        <f>VLOOKUP(D64,Coverage!A:D,4,0)</f>
        <v>0.78021978021978022</v>
      </c>
      <c r="I64" s="3">
        <f>VLOOKUP(D64,Coverage!A:E,5,0)</f>
        <v>20</v>
      </c>
      <c r="J64" s="3">
        <f>VLOOKUP(D64,Coverage!A:F,6,0)</f>
        <v>71</v>
      </c>
      <c r="K64" s="3">
        <f>VLOOKUP(D64,Coverage!A:G,7,0)</f>
        <v>122</v>
      </c>
      <c r="L64" s="31">
        <f>VLOOKUP(D64,Coverage!A:H,8,0)</f>
        <v>1.7183098591549295</v>
      </c>
      <c r="M64" s="3">
        <f>VLOOKUP(D64,Coverage!A:I,9,0)</f>
        <v>37</v>
      </c>
      <c r="N64" s="30">
        <f t="shared" si="0"/>
        <v>0.40659340659340659</v>
      </c>
    </row>
    <row r="65" spans="1:14" x14ac:dyDescent="0.35">
      <c r="A65" s="1" t="s">
        <v>25</v>
      </c>
      <c r="B65" s="13" t="s">
        <v>12</v>
      </c>
      <c r="C65" s="3" t="s">
        <v>183</v>
      </c>
      <c r="D65" s="1" t="s">
        <v>184</v>
      </c>
      <c r="E65" s="14" t="s">
        <v>185</v>
      </c>
      <c r="F65" s="3">
        <f>VLOOKUP(D65,Coverage!A:B,2,0)</f>
        <v>91</v>
      </c>
      <c r="G65" s="3">
        <f>VLOOKUP(D65,Coverage!A:C,3,0)</f>
        <v>83</v>
      </c>
      <c r="H65" s="30">
        <f>VLOOKUP(D65,Coverage!A:D,4,0)</f>
        <v>0.91208791208791207</v>
      </c>
      <c r="I65" s="3">
        <f>VLOOKUP(D65,Coverage!A:E,5,0)</f>
        <v>8</v>
      </c>
      <c r="J65" s="3">
        <f>VLOOKUP(D65,Coverage!A:F,6,0)</f>
        <v>83</v>
      </c>
      <c r="K65" s="3">
        <f>VLOOKUP(D65,Coverage!A:G,7,0)</f>
        <v>157</v>
      </c>
      <c r="L65" s="31">
        <f>VLOOKUP(D65,Coverage!A:H,8,0)</f>
        <v>1.8915662650602409</v>
      </c>
      <c r="M65" s="3">
        <f>VLOOKUP(D65,Coverage!A:I,9,0)</f>
        <v>47</v>
      </c>
      <c r="N65" s="30">
        <f t="shared" si="0"/>
        <v>0.51648351648351654</v>
      </c>
    </row>
    <row r="66" spans="1:14" x14ac:dyDescent="0.35">
      <c r="A66" s="1" t="s">
        <v>25</v>
      </c>
      <c r="B66" s="17">
        <v>44047</v>
      </c>
      <c r="C66" s="10">
        <v>210</v>
      </c>
      <c r="D66" s="9" t="s">
        <v>186</v>
      </c>
      <c r="E66" s="23" t="s">
        <v>187</v>
      </c>
      <c r="F66" s="10">
        <f>SUM(F61,F65)</f>
        <v>179</v>
      </c>
      <c r="G66" s="10">
        <f>SUM(G61,G65)</f>
        <v>166</v>
      </c>
      <c r="H66" s="32">
        <f>G66/F66</f>
        <v>0.92737430167597767</v>
      </c>
      <c r="I66" s="10">
        <f t="shared" ref="I66:M66" si="8">SUM(I61,I65)</f>
        <v>13</v>
      </c>
      <c r="J66" s="10">
        <f t="shared" si="8"/>
        <v>167</v>
      </c>
      <c r="K66" s="10">
        <f t="shared" si="8"/>
        <v>330</v>
      </c>
      <c r="L66" s="33">
        <f>AVERAGE(L61,L65)</f>
        <v>1.9755450372920251</v>
      </c>
      <c r="M66" s="10">
        <f t="shared" si="8"/>
        <v>100</v>
      </c>
      <c r="N66" s="32">
        <f t="shared" si="0"/>
        <v>0.55865921787709494</v>
      </c>
    </row>
    <row r="67" spans="1:14" x14ac:dyDescent="0.35">
      <c r="A67" s="1" t="s">
        <v>25</v>
      </c>
      <c r="B67" s="24" t="s">
        <v>188</v>
      </c>
      <c r="C67" s="25" t="s">
        <v>189</v>
      </c>
      <c r="D67" s="26" t="s">
        <v>190</v>
      </c>
      <c r="E67" s="27" t="s">
        <v>10</v>
      </c>
      <c r="F67" s="25">
        <f>SUM(F66,F60,F53,F46,F37,F29,F20,F11)</f>
        <v>1933</v>
      </c>
      <c r="G67" s="25">
        <f>SUM(G66,G60,G53,G46,G37,G29,G20,G11)</f>
        <v>1763</v>
      </c>
      <c r="H67" s="34">
        <f>G67/F67</f>
        <v>0.91205380237972067</v>
      </c>
      <c r="I67" s="25">
        <f t="shared" ref="I67:M67" si="9">SUM(I66,I60,I53,I46,I37,I29,I20,I11)</f>
        <v>170</v>
      </c>
      <c r="J67" s="25">
        <f t="shared" si="9"/>
        <v>1783</v>
      </c>
      <c r="K67" s="25">
        <f t="shared" si="9"/>
        <v>3577</v>
      </c>
      <c r="L67" s="35">
        <f>AVERAGE(L66,L60,L53,L46,L37,L29,L20,L11)</f>
        <v>1.9194149272051861</v>
      </c>
      <c r="M67" s="25">
        <f t="shared" si="9"/>
        <v>1182</v>
      </c>
      <c r="N67" s="34">
        <f t="shared" si="0"/>
        <v>0.61148473874805997</v>
      </c>
    </row>
  </sheetData>
  <mergeCells count="14">
    <mergeCell ref="A1:A2"/>
    <mergeCell ref="M1:M2"/>
    <mergeCell ref="N1:N2"/>
    <mergeCell ref="B1:B2"/>
    <mergeCell ref="C1:C2"/>
    <mergeCell ref="J1:J2"/>
    <mergeCell ref="K1:K2"/>
    <mergeCell ref="L1:L2"/>
    <mergeCell ref="D1:D2"/>
    <mergeCell ref="E1:E2"/>
    <mergeCell ref="F1:F2"/>
    <mergeCell ref="G1:G2"/>
    <mergeCell ref="H1:H2"/>
    <mergeCell ref="I1:I2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7F30B-6BB0-4473-9555-F79F2F0BB7DC}">
  <sheetPr filterMode="1"/>
  <dimension ref="A1:I58"/>
  <sheetViews>
    <sheetView workbookViewId="0">
      <pane xSplit="1" ySplit="1" topLeftCell="B2" activePane="bottomRight" state="frozen"/>
      <selection activeCell="I43" sqref="B42:I43"/>
      <selection pane="topRight" activeCell="I43" sqref="B42:I43"/>
      <selection pane="bottomLeft" activeCell="I43" sqref="B42:I43"/>
      <selection pane="bottomRight" activeCell="C62" sqref="C62"/>
    </sheetView>
  </sheetViews>
  <sheetFormatPr defaultRowHeight="15" customHeight="1" x14ac:dyDescent="0.35"/>
  <cols>
    <col min="1" max="1" width="44.7265625" bestFit="1" customWidth="1"/>
    <col min="2" max="9" width="14.1796875" customWidth="1"/>
  </cols>
  <sheetData>
    <row r="1" spans="1:9" ht="15" customHeight="1" x14ac:dyDescent="0.35"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19</v>
      </c>
    </row>
    <row r="2" spans="1:9" ht="15" hidden="1" customHeight="1" x14ac:dyDescent="0.35">
      <c r="A2" s="2" t="s">
        <v>27</v>
      </c>
      <c r="B2" s="8">
        <v>79</v>
      </c>
      <c r="C2" s="8">
        <v>76</v>
      </c>
      <c r="D2" s="8">
        <v>0.96202531645569622</v>
      </c>
      <c r="E2" s="8">
        <v>3</v>
      </c>
      <c r="F2" s="8">
        <v>76</v>
      </c>
      <c r="G2" s="8">
        <v>169</v>
      </c>
      <c r="H2" s="8">
        <v>2.2236842105263159</v>
      </c>
      <c r="I2" s="8">
        <v>63</v>
      </c>
    </row>
    <row r="3" spans="1:9" ht="15" hidden="1" customHeight="1" x14ac:dyDescent="0.35">
      <c r="A3" s="2" t="s">
        <v>71</v>
      </c>
      <c r="B3" s="8">
        <v>49</v>
      </c>
      <c r="C3" s="8">
        <v>14</v>
      </c>
      <c r="D3" s="8">
        <v>0.2857142857142857</v>
      </c>
      <c r="E3" s="8">
        <v>35</v>
      </c>
      <c r="F3" s="8">
        <v>26</v>
      </c>
      <c r="G3" s="8">
        <v>27</v>
      </c>
      <c r="H3" s="8">
        <v>1.0384615384615385</v>
      </c>
      <c r="I3" s="8">
        <v>14</v>
      </c>
    </row>
    <row r="4" spans="1:9" ht="15" hidden="1" customHeight="1" x14ac:dyDescent="0.35">
      <c r="A4" s="2" t="s">
        <v>81</v>
      </c>
      <c r="B4" s="8">
        <v>87</v>
      </c>
      <c r="C4" s="8">
        <v>86</v>
      </c>
      <c r="D4" s="8">
        <v>0.9885057471264368</v>
      </c>
      <c r="E4" s="8">
        <v>1</v>
      </c>
      <c r="F4" s="8">
        <v>87</v>
      </c>
      <c r="G4" s="8">
        <v>158</v>
      </c>
      <c r="H4" s="8">
        <v>1.8160919540229885</v>
      </c>
      <c r="I4" s="8">
        <v>56</v>
      </c>
    </row>
    <row r="5" spans="1:9" ht="15" hidden="1" customHeight="1" x14ac:dyDescent="0.35">
      <c r="A5" s="2" t="s">
        <v>184</v>
      </c>
      <c r="B5" s="8">
        <v>91</v>
      </c>
      <c r="C5" s="8">
        <v>83</v>
      </c>
      <c r="D5" s="8">
        <v>0.91208791208791207</v>
      </c>
      <c r="E5" s="8">
        <v>8</v>
      </c>
      <c r="F5" s="8">
        <v>83</v>
      </c>
      <c r="G5" s="8">
        <v>157</v>
      </c>
      <c r="H5" s="8">
        <v>1.8915662650602409</v>
      </c>
      <c r="I5" s="8">
        <v>47</v>
      </c>
    </row>
    <row r="6" spans="1:9" ht="15" hidden="1" customHeight="1" x14ac:dyDescent="0.35">
      <c r="A6" s="2" t="s">
        <v>150</v>
      </c>
      <c r="B6" s="8">
        <v>77</v>
      </c>
      <c r="C6" s="8">
        <v>5</v>
      </c>
      <c r="D6" s="8">
        <v>6.4935064935064929E-2</v>
      </c>
      <c r="E6" s="8">
        <v>72</v>
      </c>
      <c r="F6" s="8">
        <v>6</v>
      </c>
      <c r="G6" s="8">
        <v>6</v>
      </c>
      <c r="H6" s="8">
        <v>1</v>
      </c>
      <c r="I6" s="8">
        <v>0</v>
      </c>
    </row>
    <row r="7" spans="1:9" ht="15" hidden="1" customHeight="1" x14ac:dyDescent="0.35">
      <c r="A7" s="2" t="s">
        <v>78</v>
      </c>
      <c r="B7" s="8">
        <v>83</v>
      </c>
      <c r="C7" s="8">
        <v>66</v>
      </c>
      <c r="D7" s="8">
        <v>0.79518072289156627</v>
      </c>
      <c r="E7" s="8">
        <v>17</v>
      </c>
      <c r="F7" s="8">
        <v>82</v>
      </c>
      <c r="G7" s="8">
        <v>131</v>
      </c>
      <c r="H7" s="8">
        <v>1.5975609756097562</v>
      </c>
      <c r="I7" s="8">
        <v>31</v>
      </c>
    </row>
    <row r="8" spans="1:9" ht="15" hidden="1" customHeight="1" x14ac:dyDescent="0.35">
      <c r="A8" s="2" t="s">
        <v>59</v>
      </c>
      <c r="B8" s="8">
        <v>95</v>
      </c>
      <c r="C8" s="8">
        <v>78</v>
      </c>
      <c r="D8" s="8">
        <v>0.82105263157894737</v>
      </c>
      <c r="E8" s="8">
        <v>17</v>
      </c>
      <c r="F8" s="8">
        <v>78</v>
      </c>
      <c r="G8" s="8">
        <v>131</v>
      </c>
      <c r="H8" s="8">
        <v>1.6794871794871795</v>
      </c>
      <c r="I8" s="8">
        <v>24</v>
      </c>
    </row>
    <row r="9" spans="1:9" ht="15" hidden="1" customHeight="1" x14ac:dyDescent="0.35">
      <c r="A9" s="2" t="s">
        <v>191</v>
      </c>
      <c r="B9" s="8">
        <v>82</v>
      </c>
      <c r="C9" s="8">
        <v>0</v>
      </c>
      <c r="D9" s="8">
        <v>0</v>
      </c>
      <c r="E9" s="8">
        <v>82</v>
      </c>
      <c r="F9" s="8">
        <v>0</v>
      </c>
      <c r="G9" s="8">
        <v>0</v>
      </c>
      <c r="H9" s="8">
        <v>0</v>
      </c>
      <c r="I9" s="8">
        <v>0</v>
      </c>
    </row>
    <row r="10" spans="1:9" ht="15" hidden="1" customHeight="1" x14ac:dyDescent="0.35">
      <c r="A10" s="2" t="s">
        <v>181</v>
      </c>
      <c r="B10" s="8">
        <v>91</v>
      </c>
      <c r="C10" s="8">
        <v>71</v>
      </c>
      <c r="D10" s="8">
        <v>0.78021978021978022</v>
      </c>
      <c r="E10" s="8">
        <v>20</v>
      </c>
      <c r="F10" s="8">
        <v>71</v>
      </c>
      <c r="G10" s="8">
        <v>122</v>
      </c>
      <c r="H10" s="8">
        <v>1.7183098591549295</v>
      </c>
      <c r="I10" s="8">
        <v>37</v>
      </c>
    </row>
    <row r="11" spans="1:9" ht="15" hidden="1" customHeight="1" x14ac:dyDescent="0.35">
      <c r="A11" s="2" t="s">
        <v>87</v>
      </c>
      <c r="B11" s="8">
        <v>76</v>
      </c>
      <c r="C11" s="8">
        <v>76</v>
      </c>
      <c r="D11" s="8">
        <v>1</v>
      </c>
      <c r="E11" s="8">
        <v>0</v>
      </c>
      <c r="F11" s="8">
        <v>76</v>
      </c>
      <c r="G11" s="8">
        <v>169</v>
      </c>
      <c r="H11" s="8">
        <v>2.2236842105263159</v>
      </c>
      <c r="I11" s="8">
        <v>69</v>
      </c>
    </row>
    <row r="12" spans="1:9" ht="15" hidden="1" customHeight="1" x14ac:dyDescent="0.35">
      <c r="A12" s="2" t="s">
        <v>55</v>
      </c>
      <c r="B12" s="8">
        <v>73</v>
      </c>
      <c r="C12" s="8">
        <v>71</v>
      </c>
      <c r="D12" s="8">
        <v>0.9726027397260274</v>
      </c>
      <c r="E12" s="8">
        <v>2</v>
      </c>
      <c r="F12" s="8">
        <v>71</v>
      </c>
      <c r="G12" s="8">
        <v>144</v>
      </c>
      <c r="H12" s="8">
        <v>2.028169014084507</v>
      </c>
      <c r="I12" s="8">
        <v>39</v>
      </c>
    </row>
    <row r="13" spans="1:9" ht="15" hidden="1" customHeight="1" x14ac:dyDescent="0.35">
      <c r="A13" s="2" t="s">
        <v>179</v>
      </c>
      <c r="B13" s="8">
        <v>103</v>
      </c>
      <c r="C13" s="8">
        <v>97</v>
      </c>
      <c r="D13" s="8">
        <v>0.94174757281553401</v>
      </c>
      <c r="E13" s="8">
        <v>6</v>
      </c>
      <c r="F13" s="8">
        <v>97</v>
      </c>
      <c r="G13" s="8">
        <v>172</v>
      </c>
      <c r="H13" s="8">
        <v>1.7731958762886597</v>
      </c>
      <c r="I13" s="8">
        <v>52</v>
      </c>
    </row>
    <row r="14" spans="1:9" ht="15" hidden="1" customHeight="1" x14ac:dyDescent="0.35">
      <c r="A14" s="2" t="s">
        <v>115</v>
      </c>
      <c r="B14" s="8">
        <v>76</v>
      </c>
      <c r="C14" s="8">
        <v>72</v>
      </c>
      <c r="D14" s="8">
        <v>0.94736842105263153</v>
      </c>
      <c r="E14" s="8">
        <v>4</v>
      </c>
      <c r="F14" s="8">
        <v>73</v>
      </c>
      <c r="G14" s="8">
        <v>163</v>
      </c>
      <c r="H14" s="8">
        <v>2.2328767123287672</v>
      </c>
      <c r="I14" s="8">
        <v>63</v>
      </c>
    </row>
    <row r="15" spans="1:9" ht="15" hidden="1" customHeight="1" x14ac:dyDescent="0.35">
      <c r="A15" s="2" t="s">
        <v>0</v>
      </c>
      <c r="B15" s="8">
        <v>79</v>
      </c>
      <c r="C15" s="8">
        <v>69</v>
      </c>
      <c r="D15" s="8">
        <v>0.87341772151898733</v>
      </c>
      <c r="E15" s="8">
        <v>10</v>
      </c>
      <c r="F15" s="8">
        <v>69</v>
      </c>
      <c r="G15" s="8">
        <v>127</v>
      </c>
      <c r="H15" s="8">
        <v>1.8405797101449275</v>
      </c>
      <c r="I15" s="8">
        <v>32</v>
      </c>
    </row>
    <row r="16" spans="1:9" ht="15" hidden="1" customHeight="1" x14ac:dyDescent="0.35">
      <c r="A16" s="2" t="s">
        <v>36</v>
      </c>
      <c r="B16" s="8">
        <v>74</v>
      </c>
      <c r="C16" s="8">
        <v>65</v>
      </c>
      <c r="D16" s="8">
        <v>0.8783783783783784</v>
      </c>
      <c r="E16" s="8">
        <v>9</v>
      </c>
      <c r="F16" s="8">
        <v>74</v>
      </c>
      <c r="G16" s="8">
        <v>134</v>
      </c>
      <c r="H16" s="8">
        <v>1.8108108108108107</v>
      </c>
      <c r="I16" s="8">
        <v>27</v>
      </c>
    </row>
    <row r="17" spans="1:9" ht="15" hidden="1" customHeight="1" x14ac:dyDescent="0.35">
      <c r="A17" s="2" t="s">
        <v>107</v>
      </c>
      <c r="B17" s="8">
        <v>71</v>
      </c>
      <c r="C17" s="8">
        <v>31</v>
      </c>
      <c r="D17" s="8">
        <v>0.43661971830985913</v>
      </c>
      <c r="E17" s="8">
        <v>40</v>
      </c>
      <c r="F17" s="8">
        <v>36</v>
      </c>
      <c r="G17" s="8">
        <v>40</v>
      </c>
      <c r="H17" s="8">
        <v>1.1111111111111112</v>
      </c>
      <c r="I17" s="8">
        <v>6</v>
      </c>
    </row>
    <row r="18" spans="1:9" ht="15" hidden="1" customHeight="1" x14ac:dyDescent="0.35">
      <c r="A18" s="2" t="s">
        <v>124</v>
      </c>
      <c r="B18" s="8">
        <v>70</v>
      </c>
      <c r="C18" s="8">
        <v>66</v>
      </c>
      <c r="D18" s="8">
        <v>0.94285714285714284</v>
      </c>
      <c r="E18" s="8">
        <v>4</v>
      </c>
      <c r="F18" s="8">
        <v>66</v>
      </c>
      <c r="G18" s="8">
        <v>122</v>
      </c>
      <c r="H18" s="8">
        <v>1.8484848484848484</v>
      </c>
      <c r="I18" s="8">
        <v>56</v>
      </c>
    </row>
    <row r="19" spans="1:9" ht="15" hidden="1" customHeight="1" x14ac:dyDescent="0.35">
      <c r="A19" s="2" t="s">
        <v>153</v>
      </c>
      <c r="B19" s="8">
        <v>59</v>
      </c>
      <c r="C19" s="8">
        <v>19</v>
      </c>
      <c r="D19" s="8">
        <v>0.32203389830508472</v>
      </c>
      <c r="E19" s="8">
        <v>40</v>
      </c>
      <c r="F19" s="8">
        <v>20</v>
      </c>
      <c r="G19" s="8">
        <v>21</v>
      </c>
      <c r="H19" s="8">
        <v>1.05</v>
      </c>
      <c r="I19" s="8">
        <v>17</v>
      </c>
    </row>
    <row r="20" spans="1:9" ht="14.5" hidden="1" x14ac:dyDescent="0.35">
      <c r="A20" s="2" t="s">
        <v>155</v>
      </c>
      <c r="B20" s="8">
        <v>84</v>
      </c>
      <c r="C20" s="8">
        <v>79</v>
      </c>
      <c r="D20" s="8">
        <v>0.94047619047619047</v>
      </c>
      <c r="E20" s="8">
        <v>5</v>
      </c>
      <c r="F20" s="8">
        <v>79</v>
      </c>
      <c r="G20" s="8">
        <v>164</v>
      </c>
      <c r="H20" s="8">
        <v>2.0759493670886076</v>
      </c>
      <c r="I20" s="8">
        <v>42</v>
      </c>
    </row>
    <row r="21" spans="1:9" ht="14.5" hidden="1" x14ac:dyDescent="0.35">
      <c r="A21" s="2" t="s">
        <v>138</v>
      </c>
      <c r="B21" s="8">
        <v>52</v>
      </c>
      <c r="C21" s="8">
        <v>29</v>
      </c>
      <c r="D21" s="8">
        <v>0.55769230769230771</v>
      </c>
      <c r="E21" s="8">
        <v>23</v>
      </c>
      <c r="F21" s="8">
        <v>29</v>
      </c>
      <c r="G21" s="8">
        <v>35</v>
      </c>
      <c r="H21" s="8">
        <v>1.2068965517241379</v>
      </c>
      <c r="I21" s="8">
        <v>29</v>
      </c>
    </row>
    <row r="22" spans="1:9" ht="14.5" hidden="1" x14ac:dyDescent="0.35">
      <c r="A22" s="2" t="s">
        <v>174</v>
      </c>
      <c r="B22" s="8">
        <v>88</v>
      </c>
      <c r="C22" s="8">
        <v>83</v>
      </c>
      <c r="D22" s="8">
        <v>0.94318181818181823</v>
      </c>
      <c r="E22" s="8">
        <v>5</v>
      </c>
      <c r="F22" s="8">
        <v>84</v>
      </c>
      <c r="G22" s="8">
        <v>173</v>
      </c>
      <c r="H22" s="8">
        <v>2.0595238095238093</v>
      </c>
      <c r="I22" s="8">
        <v>53</v>
      </c>
    </row>
    <row r="23" spans="1:9" ht="14.5" hidden="1" x14ac:dyDescent="0.35">
      <c r="A23" s="2" t="s">
        <v>44</v>
      </c>
      <c r="B23" s="8">
        <v>78</v>
      </c>
      <c r="C23" s="8">
        <v>71</v>
      </c>
      <c r="D23" s="8">
        <v>0.91025641025641024</v>
      </c>
      <c r="E23" s="8">
        <v>7</v>
      </c>
      <c r="F23" s="8">
        <v>73</v>
      </c>
      <c r="G23" s="8">
        <v>154</v>
      </c>
      <c r="H23" s="8">
        <v>2.1095890410958904</v>
      </c>
      <c r="I23" s="8">
        <v>48</v>
      </c>
    </row>
    <row r="24" spans="1:9" ht="14.5" hidden="1" x14ac:dyDescent="0.35">
      <c r="A24" s="2" t="s">
        <v>143</v>
      </c>
      <c r="B24" s="8">
        <v>75</v>
      </c>
      <c r="C24" s="8">
        <v>71</v>
      </c>
      <c r="D24" s="8">
        <v>0.94666666666666666</v>
      </c>
      <c r="E24" s="8">
        <v>4</v>
      </c>
      <c r="F24" s="8">
        <v>76</v>
      </c>
      <c r="G24" s="8">
        <v>131</v>
      </c>
      <c r="H24" s="8">
        <v>1.7236842105263157</v>
      </c>
      <c r="I24" s="8">
        <v>47</v>
      </c>
    </row>
    <row r="25" spans="1:9" ht="14.5" hidden="1" x14ac:dyDescent="0.35">
      <c r="A25" s="2" t="s">
        <v>67</v>
      </c>
      <c r="B25" s="8">
        <v>77</v>
      </c>
      <c r="C25" s="8">
        <v>74</v>
      </c>
      <c r="D25" s="8">
        <v>0.96103896103896103</v>
      </c>
      <c r="E25" s="8">
        <v>3</v>
      </c>
      <c r="F25" s="8">
        <v>75</v>
      </c>
      <c r="G25" s="8">
        <v>164</v>
      </c>
      <c r="H25" s="8">
        <v>2.1866666666666665</v>
      </c>
      <c r="I25" s="8">
        <v>43</v>
      </c>
    </row>
    <row r="26" spans="1:9" ht="14.5" hidden="1" x14ac:dyDescent="0.35">
      <c r="A26" s="2" t="s">
        <v>69</v>
      </c>
      <c r="B26" s="8">
        <v>82</v>
      </c>
      <c r="C26" s="8">
        <v>76</v>
      </c>
      <c r="D26" s="8">
        <v>0.92682926829268297</v>
      </c>
      <c r="E26" s="8">
        <v>6</v>
      </c>
      <c r="F26" s="8">
        <v>77</v>
      </c>
      <c r="G26" s="8">
        <v>147</v>
      </c>
      <c r="H26" s="8">
        <v>1.9090909090909092</v>
      </c>
      <c r="I26" s="8">
        <v>42</v>
      </c>
    </row>
    <row r="27" spans="1:9" ht="14.5" hidden="1" x14ac:dyDescent="0.35">
      <c r="A27" s="2" t="s">
        <v>31</v>
      </c>
      <c r="B27" s="8">
        <v>71</v>
      </c>
      <c r="C27" s="8">
        <v>66</v>
      </c>
      <c r="D27" s="8">
        <v>0.92957746478873238</v>
      </c>
      <c r="E27" s="8">
        <v>5</v>
      </c>
      <c r="F27" s="8">
        <v>71</v>
      </c>
      <c r="G27" s="8">
        <v>161</v>
      </c>
      <c r="H27" s="8">
        <v>2.267605633802817</v>
      </c>
      <c r="I27" s="8">
        <v>40</v>
      </c>
    </row>
    <row r="28" spans="1:9" ht="14.5" hidden="1" x14ac:dyDescent="0.35">
      <c r="A28" s="2" t="s">
        <v>159</v>
      </c>
      <c r="B28" s="8">
        <v>90</v>
      </c>
      <c r="C28" s="8">
        <v>84</v>
      </c>
      <c r="D28" s="8">
        <v>0.93333333333333335</v>
      </c>
      <c r="E28" s="8">
        <v>6</v>
      </c>
      <c r="F28" s="8">
        <v>84</v>
      </c>
      <c r="G28" s="8">
        <v>169</v>
      </c>
      <c r="H28" s="8">
        <v>2.0119047619047619</v>
      </c>
      <c r="I28" s="8">
        <v>73</v>
      </c>
    </row>
    <row r="29" spans="1:9" ht="14.5" hidden="1" x14ac:dyDescent="0.35">
      <c r="A29" s="2" t="s">
        <v>74</v>
      </c>
      <c r="B29" s="8">
        <v>102</v>
      </c>
      <c r="C29" s="8">
        <v>93</v>
      </c>
      <c r="D29" s="8">
        <v>0.91176470588235292</v>
      </c>
      <c r="E29" s="8">
        <v>9</v>
      </c>
      <c r="F29" s="8">
        <v>93</v>
      </c>
      <c r="G29" s="8">
        <v>163</v>
      </c>
      <c r="H29" s="8">
        <v>1.7526881720430108</v>
      </c>
      <c r="I29" s="8">
        <v>57</v>
      </c>
    </row>
    <row r="30" spans="1:9" ht="14.5" hidden="1" x14ac:dyDescent="0.35">
      <c r="A30" s="2" t="s">
        <v>101</v>
      </c>
      <c r="B30" s="8">
        <v>96</v>
      </c>
      <c r="C30" s="8">
        <v>69</v>
      </c>
      <c r="D30" s="8">
        <v>0.71875</v>
      </c>
      <c r="E30" s="8">
        <v>27</v>
      </c>
      <c r="F30" s="8">
        <v>75</v>
      </c>
      <c r="G30" s="8">
        <v>139</v>
      </c>
      <c r="H30" s="8">
        <v>1.8533333333333333</v>
      </c>
      <c r="I30" s="8">
        <v>38</v>
      </c>
    </row>
    <row r="31" spans="1:9" ht="14.5" hidden="1" x14ac:dyDescent="0.35">
      <c r="A31" s="2" t="s">
        <v>40</v>
      </c>
      <c r="B31" s="8">
        <v>80</v>
      </c>
      <c r="C31" s="8">
        <v>77</v>
      </c>
      <c r="D31" s="8">
        <v>0.96250000000000002</v>
      </c>
      <c r="E31" s="8">
        <v>3</v>
      </c>
      <c r="F31" s="8">
        <v>77</v>
      </c>
      <c r="G31" s="8">
        <v>154</v>
      </c>
      <c r="H31" s="8">
        <v>2</v>
      </c>
      <c r="I31" s="8">
        <v>44</v>
      </c>
    </row>
    <row r="32" spans="1:9" ht="14.5" hidden="1" x14ac:dyDescent="0.35">
      <c r="A32" s="2" t="s">
        <v>165</v>
      </c>
      <c r="B32" s="8">
        <v>88</v>
      </c>
      <c r="C32" s="8">
        <v>79</v>
      </c>
      <c r="D32" s="8">
        <v>0.89772727272727271</v>
      </c>
      <c r="E32" s="8">
        <v>9</v>
      </c>
      <c r="F32" s="8">
        <v>79</v>
      </c>
      <c r="G32" s="8">
        <v>170</v>
      </c>
      <c r="H32" s="8">
        <v>2.1518987341772151</v>
      </c>
      <c r="I32" s="8">
        <v>72</v>
      </c>
    </row>
    <row r="33" spans="1:9" ht="14.5" hidden="1" x14ac:dyDescent="0.35">
      <c r="A33" s="2" t="s">
        <v>129</v>
      </c>
      <c r="B33" s="8">
        <v>71</v>
      </c>
      <c r="C33" s="8">
        <v>71</v>
      </c>
      <c r="D33" s="8">
        <v>1</v>
      </c>
      <c r="E33" s="8">
        <v>0</v>
      </c>
      <c r="F33" s="8">
        <v>71</v>
      </c>
      <c r="G33" s="8">
        <v>129</v>
      </c>
      <c r="H33" s="8">
        <v>1.8169014084507042</v>
      </c>
      <c r="I33" s="8">
        <v>52</v>
      </c>
    </row>
    <row r="34" spans="1:9" ht="14.5" hidden="1" x14ac:dyDescent="0.35">
      <c r="A34" s="2" t="s">
        <v>90</v>
      </c>
      <c r="B34" s="8">
        <v>77</v>
      </c>
      <c r="C34" s="8">
        <v>73</v>
      </c>
      <c r="D34" s="8">
        <v>0.94805194805194803</v>
      </c>
      <c r="E34" s="8">
        <v>4</v>
      </c>
      <c r="F34" s="8">
        <v>73</v>
      </c>
      <c r="G34" s="8">
        <v>163</v>
      </c>
      <c r="H34" s="8">
        <v>2.2328767123287672</v>
      </c>
      <c r="I34" s="8">
        <v>27</v>
      </c>
    </row>
    <row r="35" spans="1:9" ht="14.5" hidden="1" x14ac:dyDescent="0.35">
      <c r="A35" s="2" t="s">
        <v>192</v>
      </c>
      <c r="B35" s="8">
        <v>67</v>
      </c>
      <c r="C35" s="8">
        <v>0</v>
      </c>
      <c r="D35" s="8">
        <v>0</v>
      </c>
      <c r="E35" s="8">
        <v>67</v>
      </c>
      <c r="F35" s="8">
        <v>0</v>
      </c>
      <c r="G35" s="8">
        <v>0</v>
      </c>
      <c r="H35" s="8">
        <v>0</v>
      </c>
      <c r="I35" s="8">
        <v>0</v>
      </c>
    </row>
    <row r="36" spans="1:9" ht="14.5" hidden="1" x14ac:dyDescent="0.35">
      <c r="A36" s="2" t="s">
        <v>176</v>
      </c>
      <c r="B36" s="8">
        <v>80</v>
      </c>
      <c r="C36" s="8">
        <v>29</v>
      </c>
      <c r="D36" s="8">
        <v>0.36249999999999999</v>
      </c>
      <c r="E36" s="8">
        <v>51</v>
      </c>
      <c r="F36" s="8">
        <v>30</v>
      </c>
      <c r="G36" s="8">
        <v>35</v>
      </c>
      <c r="H36" s="8">
        <v>1.1666666666666667</v>
      </c>
      <c r="I36" s="8">
        <v>0</v>
      </c>
    </row>
    <row r="37" spans="1:9" ht="14.5" hidden="1" x14ac:dyDescent="0.35">
      <c r="A37" s="2" t="s">
        <v>105</v>
      </c>
      <c r="B37" s="8">
        <v>90</v>
      </c>
      <c r="C37" s="8">
        <v>53</v>
      </c>
      <c r="D37" s="8">
        <v>0.58888888888888891</v>
      </c>
      <c r="E37" s="8">
        <v>37</v>
      </c>
      <c r="F37" s="8">
        <v>86</v>
      </c>
      <c r="G37" s="8">
        <v>141</v>
      </c>
      <c r="H37" s="8">
        <v>1.6395348837209303</v>
      </c>
      <c r="I37" s="8">
        <v>20</v>
      </c>
    </row>
    <row r="38" spans="1:9" ht="14.5" hidden="1" x14ac:dyDescent="0.35">
      <c r="A38" s="2" t="s">
        <v>135</v>
      </c>
      <c r="B38" s="8">
        <v>63</v>
      </c>
      <c r="C38" s="8">
        <v>59</v>
      </c>
      <c r="D38" s="8">
        <v>0.93650793650793651</v>
      </c>
      <c r="E38" s="8">
        <v>4</v>
      </c>
      <c r="F38" s="8">
        <v>67</v>
      </c>
      <c r="G38" s="8">
        <v>155</v>
      </c>
      <c r="H38" s="8">
        <v>2.3134328358208953</v>
      </c>
      <c r="I38" s="8">
        <v>47</v>
      </c>
    </row>
    <row r="39" spans="1:9" ht="14.5" hidden="1" x14ac:dyDescent="0.35">
      <c r="A39" s="2" t="s">
        <v>113</v>
      </c>
      <c r="B39" s="8">
        <v>52</v>
      </c>
      <c r="C39" s="8">
        <v>16</v>
      </c>
      <c r="D39" s="8">
        <v>0.30769230769230771</v>
      </c>
      <c r="E39" s="8">
        <v>36</v>
      </c>
      <c r="F39" s="8">
        <v>17</v>
      </c>
      <c r="G39" s="8">
        <v>18</v>
      </c>
      <c r="H39" s="8">
        <v>1.0588235294117647</v>
      </c>
      <c r="I39" s="8">
        <v>16</v>
      </c>
    </row>
    <row r="40" spans="1:9" ht="14.5" hidden="1" x14ac:dyDescent="0.35">
      <c r="A40" s="2" t="s">
        <v>121</v>
      </c>
      <c r="B40" s="8">
        <v>68</v>
      </c>
      <c r="C40" s="8">
        <v>59</v>
      </c>
      <c r="D40" s="8">
        <v>0.86764705882352944</v>
      </c>
      <c r="E40" s="8">
        <v>9</v>
      </c>
      <c r="F40" s="8">
        <v>60</v>
      </c>
      <c r="G40" s="8">
        <v>120</v>
      </c>
      <c r="H40" s="8">
        <v>2</v>
      </c>
      <c r="I40" s="8">
        <v>43</v>
      </c>
    </row>
    <row r="41" spans="1:9" ht="14.5" hidden="1" x14ac:dyDescent="0.35">
      <c r="A41" s="2" t="s">
        <v>111</v>
      </c>
      <c r="B41" s="8">
        <v>79</v>
      </c>
      <c r="C41" s="8">
        <v>70</v>
      </c>
      <c r="D41" s="8">
        <v>0.88607594936708856</v>
      </c>
      <c r="E41" s="8">
        <v>9</v>
      </c>
      <c r="F41" s="8">
        <v>72</v>
      </c>
      <c r="G41" s="8">
        <v>147</v>
      </c>
      <c r="H41" s="8">
        <v>2.0416666666666665</v>
      </c>
      <c r="I41" s="8">
        <v>25</v>
      </c>
    </row>
    <row r="42" spans="1:9" ht="14.5" hidden="1" x14ac:dyDescent="0.35">
      <c r="A42" s="2" t="s">
        <v>57</v>
      </c>
      <c r="B42" s="8">
        <v>74</v>
      </c>
      <c r="C42" s="8">
        <v>63</v>
      </c>
      <c r="D42" s="8">
        <v>0.85135135135135132</v>
      </c>
      <c r="E42" s="8">
        <v>11</v>
      </c>
      <c r="F42" s="8">
        <v>63</v>
      </c>
      <c r="G42" s="8">
        <v>120</v>
      </c>
      <c r="H42" s="8">
        <v>1.9047619047619047</v>
      </c>
      <c r="I42" s="8">
        <v>40</v>
      </c>
    </row>
    <row r="43" spans="1:9" ht="14.5" hidden="1" x14ac:dyDescent="0.35">
      <c r="A43" s="2" t="s">
        <v>133</v>
      </c>
      <c r="B43" s="8">
        <v>66</v>
      </c>
      <c r="C43" s="8">
        <v>66</v>
      </c>
      <c r="D43" s="8">
        <v>1</v>
      </c>
      <c r="E43" s="8">
        <v>0</v>
      </c>
      <c r="F43" s="8">
        <v>66</v>
      </c>
      <c r="G43" s="8">
        <v>121</v>
      </c>
      <c r="H43" s="8">
        <v>1.8333333333333333</v>
      </c>
      <c r="I43" s="8">
        <v>49</v>
      </c>
    </row>
    <row r="44" spans="1:9" ht="14.5" hidden="1" x14ac:dyDescent="0.35">
      <c r="A44" s="2" t="s">
        <v>148</v>
      </c>
      <c r="B44" s="8">
        <v>75</v>
      </c>
      <c r="C44" s="8">
        <v>73</v>
      </c>
      <c r="D44" s="8">
        <v>0.97333333333333338</v>
      </c>
      <c r="E44" s="8">
        <v>2</v>
      </c>
      <c r="F44" s="8">
        <v>75</v>
      </c>
      <c r="G44" s="8">
        <v>144</v>
      </c>
      <c r="H44" s="8">
        <v>1.92</v>
      </c>
      <c r="I44" s="8">
        <v>56</v>
      </c>
    </row>
    <row r="45" spans="1:9" ht="14.5" hidden="1" x14ac:dyDescent="0.35">
      <c r="A45" s="2" t="s">
        <v>97</v>
      </c>
      <c r="B45" s="8">
        <v>78</v>
      </c>
      <c r="C45" s="8">
        <v>68</v>
      </c>
      <c r="D45" s="8">
        <v>0.87179487179487181</v>
      </c>
      <c r="E45" s="8">
        <v>10</v>
      </c>
      <c r="F45" s="8">
        <v>81</v>
      </c>
      <c r="G45" s="8">
        <v>162</v>
      </c>
      <c r="H45" s="8">
        <v>2</v>
      </c>
      <c r="I45" s="8">
        <v>38</v>
      </c>
    </row>
    <row r="46" spans="1:9" ht="14.5" x14ac:dyDescent="0.35">
      <c r="A46" s="2" t="s">
        <v>63</v>
      </c>
      <c r="B46" s="8">
        <v>58</v>
      </c>
      <c r="C46" s="8">
        <v>0</v>
      </c>
      <c r="D46" s="8">
        <v>0</v>
      </c>
      <c r="E46" s="8">
        <v>58</v>
      </c>
      <c r="F46" s="8">
        <v>0</v>
      </c>
      <c r="G46" s="8">
        <v>0</v>
      </c>
      <c r="H46" s="8">
        <v>0</v>
      </c>
      <c r="I46" s="8">
        <v>0</v>
      </c>
    </row>
    <row r="47" spans="1:9" ht="14.5" hidden="1" x14ac:dyDescent="0.35">
      <c r="A47" s="2" t="s">
        <v>50</v>
      </c>
      <c r="B47" s="8">
        <v>38</v>
      </c>
      <c r="C47" s="8">
        <v>28</v>
      </c>
      <c r="D47" s="8">
        <v>0.73684210526315785</v>
      </c>
      <c r="E47" s="8">
        <v>10</v>
      </c>
      <c r="F47" s="8">
        <v>30</v>
      </c>
      <c r="G47" s="8">
        <v>36</v>
      </c>
      <c r="H47" s="8">
        <v>1.2</v>
      </c>
      <c r="I47" s="8">
        <v>27</v>
      </c>
    </row>
    <row r="48" spans="1:9" ht="14.5" hidden="1" x14ac:dyDescent="0.35">
      <c r="A48" s="2" t="s">
        <v>119</v>
      </c>
      <c r="B48" s="8">
        <v>67</v>
      </c>
      <c r="C48" s="8">
        <v>66</v>
      </c>
      <c r="D48" s="8">
        <v>0.9850746268656716</v>
      </c>
      <c r="E48" s="8">
        <v>1</v>
      </c>
      <c r="F48" s="8">
        <v>67</v>
      </c>
      <c r="G48" s="8">
        <v>129</v>
      </c>
      <c r="H48" s="8">
        <v>1.9253731343283582</v>
      </c>
      <c r="I48" s="8">
        <v>64</v>
      </c>
    </row>
    <row r="49" spans="1:9" ht="14.5" hidden="1" x14ac:dyDescent="0.35">
      <c r="A49" s="2" t="s">
        <v>167</v>
      </c>
      <c r="B49" s="8">
        <v>89</v>
      </c>
      <c r="C49" s="8">
        <v>63</v>
      </c>
      <c r="D49" s="8">
        <v>0.7078651685393258</v>
      </c>
      <c r="E49" s="8">
        <v>26</v>
      </c>
      <c r="F49" s="8">
        <v>73</v>
      </c>
      <c r="G49" s="8">
        <v>147</v>
      </c>
      <c r="H49" s="8">
        <v>2.0136986301369864</v>
      </c>
      <c r="I49" s="8">
        <v>22</v>
      </c>
    </row>
    <row r="50" spans="1:9" ht="14.5" hidden="1" x14ac:dyDescent="0.35">
      <c r="A50" s="2" t="s">
        <v>46</v>
      </c>
      <c r="B50" s="8">
        <v>89</v>
      </c>
      <c r="C50" s="8">
        <v>53</v>
      </c>
      <c r="D50" s="8">
        <v>0.5955056179775281</v>
      </c>
      <c r="E50" s="8">
        <v>36</v>
      </c>
      <c r="F50" s="8">
        <v>53</v>
      </c>
      <c r="G50" s="8">
        <v>66</v>
      </c>
      <c r="H50" s="8">
        <v>1.2452830188679245</v>
      </c>
      <c r="I50" s="8">
        <v>8</v>
      </c>
    </row>
    <row r="51" spans="1:9" ht="14.5" hidden="1" x14ac:dyDescent="0.35">
      <c r="A51" s="2" t="s">
        <v>85</v>
      </c>
      <c r="B51" s="8">
        <v>83</v>
      </c>
      <c r="C51" s="8">
        <v>75</v>
      </c>
      <c r="D51" s="8">
        <v>0.90361445783132532</v>
      </c>
      <c r="E51" s="8">
        <v>8</v>
      </c>
      <c r="F51" s="8">
        <v>75</v>
      </c>
      <c r="G51" s="8">
        <v>123</v>
      </c>
      <c r="H51" s="8">
        <v>1.64</v>
      </c>
      <c r="I51" s="8">
        <v>55</v>
      </c>
    </row>
    <row r="52" spans="1:9" ht="14.5" hidden="1" x14ac:dyDescent="0.35">
      <c r="A52" s="2" t="s">
        <v>170</v>
      </c>
      <c r="B52" s="8">
        <v>68</v>
      </c>
      <c r="C52" s="8">
        <v>65</v>
      </c>
      <c r="D52" s="8">
        <v>0.95588235294117652</v>
      </c>
      <c r="E52" s="8">
        <v>3</v>
      </c>
      <c r="F52" s="8">
        <v>65</v>
      </c>
      <c r="G52" s="8">
        <v>161</v>
      </c>
      <c r="H52" s="8">
        <v>2.476923076923077</v>
      </c>
      <c r="I52" s="8">
        <v>48</v>
      </c>
    </row>
    <row r="53" spans="1:9" ht="14.5" hidden="1" x14ac:dyDescent="0.35">
      <c r="A53" s="2" t="s">
        <v>93</v>
      </c>
      <c r="B53" s="8">
        <v>66</v>
      </c>
      <c r="C53" s="8">
        <v>61</v>
      </c>
      <c r="D53" s="8">
        <v>0.9242424242424242</v>
      </c>
      <c r="E53" s="8">
        <v>5</v>
      </c>
      <c r="F53" s="8">
        <v>62</v>
      </c>
      <c r="G53" s="8">
        <v>150</v>
      </c>
      <c r="H53" s="8">
        <v>2.4193548387096775</v>
      </c>
      <c r="I53" s="8">
        <v>19</v>
      </c>
    </row>
    <row r="54" spans="1:9" ht="14.5" hidden="1" x14ac:dyDescent="0.35">
      <c r="A54" s="2" t="s">
        <v>34</v>
      </c>
      <c r="B54" s="8">
        <v>72</v>
      </c>
      <c r="C54" s="8">
        <v>68</v>
      </c>
      <c r="D54" s="8">
        <v>0.94444444444444442</v>
      </c>
      <c r="E54" s="8">
        <v>4</v>
      </c>
      <c r="F54" s="8">
        <v>68</v>
      </c>
      <c r="G54" s="8">
        <v>158</v>
      </c>
      <c r="H54" s="8">
        <v>2.3235294117647061</v>
      </c>
      <c r="I54" s="8">
        <v>60</v>
      </c>
    </row>
    <row r="55" spans="1:9" ht="14.5" hidden="1" x14ac:dyDescent="0.35">
      <c r="A55" s="2" t="s">
        <v>76</v>
      </c>
      <c r="B55" s="8">
        <v>95</v>
      </c>
      <c r="C55" s="8">
        <v>75</v>
      </c>
      <c r="D55" s="8">
        <v>0.78947368421052633</v>
      </c>
      <c r="E55" s="8">
        <v>20</v>
      </c>
      <c r="F55" s="8">
        <v>83</v>
      </c>
      <c r="G55" s="8">
        <v>156</v>
      </c>
      <c r="H55" s="8">
        <v>1.8795180722891567</v>
      </c>
      <c r="I55" s="8">
        <v>46</v>
      </c>
    </row>
    <row r="56" spans="1:9" ht="14.5" hidden="1" x14ac:dyDescent="0.35">
      <c r="A56" s="2" t="s">
        <v>186</v>
      </c>
      <c r="B56" s="8">
        <v>44</v>
      </c>
      <c r="C56" s="8">
        <v>5</v>
      </c>
      <c r="D56" s="8">
        <v>0.11363636363636363</v>
      </c>
      <c r="E56" s="8">
        <v>39</v>
      </c>
      <c r="F56" s="8">
        <v>5</v>
      </c>
      <c r="G56" s="8">
        <v>5</v>
      </c>
      <c r="H56" s="8">
        <v>1</v>
      </c>
      <c r="I56" s="8">
        <v>5</v>
      </c>
    </row>
    <row r="57" spans="1:9" ht="14.5" hidden="1" x14ac:dyDescent="0.35">
      <c r="A57" s="2" t="s">
        <v>99</v>
      </c>
      <c r="B57" s="8">
        <v>72</v>
      </c>
      <c r="C57" s="8">
        <v>66</v>
      </c>
      <c r="D57" s="8">
        <v>0.91666666666666663</v>
      </c>
      <c r="E57" s="8">
        <v>6</v>
      </c>
      <c r="F57" s="8">
        <v>78</v>
      </c>
      <c r="G57" s="8">
        <v>155</v>
      </c>
      <c r="H57" s="8">
        <v>1.9871794871794872</v>
      </c>
      <c r="I57" s="8">
        <v>48</v>
      </c>
    </row>
    <row r="58" spans="1:9" ht="14.5" hidden="1" x14ac:dyDescent="0.35">
      <c r="B58" s="8">
        <v>3968</v>
      </c>
      <c r="C58" s="8">
        <v>3234</v>
      </c>
      <c r="D58" s="8">
        <v>0.81502016129032262</v>
      </c>
      <c r="E58" s="8">
        <v>938</v>
      </c>
      <c r="F58" s="8">
        <v>3386</v>
      </c>
      <c r="G58" s="8">
        <v>6658</v>
      </c>
      <c r="H58" s="8">
        <v>1.9663319551092735</v>
      </c>
      <c r="I58" s="8">
        <v>2076</v>
      </c>
    </row>
  </sheetData>
  <autoFilter ref="A1:I58" xr:uid="{C197F30B-6BB0-4473-9555-F79F2F0BB7DC}">
    <filterColumn colId="0">
      <filters>
        <filter val="Nourhan Ashraf Mostafa Hassan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2-2026</vt:lpstr>
      <vt:lpstr>Sheet1</vt:lpstr>
      <vt:lpstr>sheet</vt:lpstr>
      <vt:lpstr>Coverage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Aya Adel</dc:creator>
  <cp:lastModifiedBy>Dell</cp:lastModifiedBy>
  <dcterms:created xsi:type="dcterms:W3CDTF">2024-02-25T12:29:34Z</dcterms:created>
  <dcterms:modified xsi:type="dcterms:W3CDTF">2026-03-08T11:32:58Z</dcterms:modified>
</cp:coreProperties>
</file>